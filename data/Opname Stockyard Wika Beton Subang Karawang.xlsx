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Config" sheetId="2" r:id="rId6"/>
  </sheets>
  <definedNames/>
  <calcPr/>
</workbook>
</file>

<file path=xl/sharedStrings.xml><?xml version="1.0" encoding="utf-8"?>
<sst xmlns="http://schemas.openxmlformats.org/spreadsheetml/2006/main" count="411" uniqueCount="260">
  <si>
    <t>No</t>
  </si>
  <si>
    <t>PELANGGAN</t>
  </si>
  <si>
    <t>PROYEK</t>
  </si>
  <si>
    <t>Tipe Produk</t>
  </si>
  <si>
    <t>STOCK</t>
  </si>
  <si>
    <t>TOTAL STOCK</t>
  </si>
  <si>
    <t>OPNAME FISIK s/d SAAT INI</t>
  </si>
  <si>
    <t>SELISIH OPNAME</t>
  </si>
  <si>
    <t>Wilayah Penjualan</t>
  </si>
  <si>
    <t>Harsat</t>
  </si>
  <si>
    <t>Total Rupiah</t>
  </si>
  <si>
    <t>Umur Produk</t>
  </si>
  <si>
    <t>UMUR STOCK</t>
  </si>
  <si>
    <t>AKTIF</t>
  </si>
  <si>
    <t>TITIPAN</t>
  </si>
  <si>
    <t>JALUR 1</t>
  </si>
  <si>
    <t>JALUR 2</t>
  </si>
  <si>
    <t>JALUR 3</t>
  </si>
  <si>
    <t>A</t>
  </si>
  <si>
    <t>B1</t>
  </si>
  <si>
    <t>B2</t>
  </si>
  <si>
    <t>C</t>
  </si>
  <si>
    <t>D</t>
  </si>
  <si>
    <t>E</t>
  </si>
  <si>
    <t>F</t>
  </si>
  <si>
    <t>Sty jlr 4</t>
  </si>
  <si>
    <t>LAIN2</t>
  </si>
  <si>
    <t>&lt; 30 HARI</t>
  </si>
  <si>
    <t>30 - 60 HARI</t>
  </si>
  <si>
    <t>60- 90 HARI</t>
  </si>
  <si>
    <t>90 - 180 HARI</t>
  </si>
  <si>
    <t>180 - 365 HARI</t>
  </si>
  <si>
    <t>&gt; 1 Tahun</t>
  </si>
  <si>
    <t>PT. ABIPRAYA - UNO, KSO</t>
  </si>
  <si>
    <t>SEKOLAH RAKYAT PROV. JABAR 2 PO 3 BEKASI</t>
  </si>
  <si>
    <t>30.30.A.B.09.D-13 K10 fc' 42 Mpa</t>
  </si>
  <si>
    <t>III</t>
  </si>
  <si>
    <t>30.30.A.U.06.D-13 K10 fc' 42 Mpa</t>
  </si>
  <si>
    <t>SEKOLAH RAKYAT PROV JABAR 1 SUMEDANG</t>
  </si>
  <si>
    <t>30.30.A.B.06.D-13 K10 fc' 42 Mpa</t>
  </si>
  <si>
    <t>30.30.A.M.06.D-13 K10 fc' 42 Mpa</t>
  </si>
  <si>
    <t>PT. MULTIMAS NABATI ASAHAN</t>
  </si>
  <si>
    <t>PT - TBBM BANDUNG</t>
  </si>
  <si>
    <t>20.20.B.S.10.9,53.S.M.K4 fc' 42Mpa</t>
  </si>
  <si>
    <t>PT. KELLER GROUND INDONESIA</t>
  </si>
  <si>
    <t>KAWASAN WILMAR SERANG</t>
  </si>
  <si>
    <t>20.20.A0.B.06.9,53.S.M fc' 42Mpa</t>
  </si>
  <si>
    <t>Rp889.57</t>
  </si>
  <si>
    <t>PT. ARAFAH ALAM SEJAHTERA</t>
  </si>
  <si>
    <t>REHABILITASI KALI PESANGGRAHAN</t>
  </si>
  <si>
    <t>W.325.B.1000.14 fc' 62,5 Mpa VIBRO</t>
  </si>
  <si>
    <t>PT. PP-WIKA-KMK KSO</t>
  </si>
  <si>
    <t>TOLL JAKARTA - CIKAMPEK II SELATAN PAKET 2A</t>
  </si>
  <si>
    <t>W.325.A.1000.12 fc' 62,5 Mpa HAMMER</t>
  </si>
  <si>
    <t>W.325.A.1000.09 fc' 62,5 Mpa HAMMER</t>
  </si>
  <si>
    <t>PT PP-AK-WSKT-MWT, KSO</t>
  </si>
  <si>
    <t>TOL SERANG PANIMBANG SEKSI 3 FASE 2 PAKET 3 - BANTEN</t>
  </si>
  <si>
    <t>HALF SLAB</t>
  </si>
  <si>
    <t>PT. KG-WIKA-JAKON JV</t>
  </si>
  <si>
    <t>ROAD DECKING FOR PACKAGE 2 &amp; 3</t>
  </si>
  <si>
    <t>RC Deck Slab 2000x1000x250 fc' 45Mpa</t>
  </si>
  <si>
    <t>RC Deck Slab 3000x1000x250 fc' 45Mpa</t>
  </si>
  <si>
    <t>BRANTAS ABIPRAYA</t>
  </si>
  <si>
    <t>REHABILITASI BENDUNGAN CIPANCUH</t>
  </si>
  <si>
    <t>25.25.A.S.06.7,1</t>
  </si>
  <si>
    <t>Rp825.58</t>
  </si>
  <si>
    <t>WASKITA KARYA</t>
  </si>
  <si>
    <t>TOL CIBITUNG - CILINCING SEKSI GANJIL</t>
  </si>
  <si>
    <t>W.450.B.1000.06 K-800</t>
  </si>
  <si>
    <t>PT BUMI MANDALA WANGI</t>
  </si>
  <si>
    <t>PENGGANTIAN JEMBATAN CICACABAN GIRANG - TASIK - R1</t>
  </si>
  <si>
    <t>VS 97x57; L-10; TEPI TENGAH</t>
  </si>
  <si>
    <t>PT. WIJAYA KARYA</t>
  </si>
  <si>
    <t>PLUIT (HARBOUR)</t>
  </si>
  <si>
    <t>BOX GIRDER WIKA</t>
  </si>
  <si>
    <t>GIDER INDONESIA</t>
  </si>
  <si>
    <t>PLUIT (HARBOUR) GI</t>
  </si>
  <si>
    <t>BOX GIRDER GI</t>
  </si>
  <si>
    <t>CV MUBARAK PUTRA UTAMA</t>
  </si>
  <si>
    <t>PEMBANGUNAN MASJID TI TOLL SERANG-PANIMBANG</t>
  </si>
  <si>
    <t>25.25.A.B.05.9,53.S.M</t>
  </si>
  <si>
    <t>25.25.A.U.05.9,53.S.M</t>
  </si>
  <si>
    <t>25.25.A.M.05.9,53.S.M</t>
  </si>
  <si>
    <t>PT ADHI - APG, KSO</t>
  </si>
  <si>
    <t>GELANGGANG REMAJA KECAMATAN DI WILAYAH JAKARTA SELATAN</t>
  </si>
  <si>
    <t>30.30.A.B.06.9,53.S.M</t>
  </si>
  <si>
    <t>30.30.A.U.04.9,53.S.M</t>
  </si>
  <si>
    <t>PT NUSA CITRA ANYGERAH PRATAMA</t>
  </si>
  <si>
    <t>PT PERTAMINA PATRA NIAGA PEMB. CONRTOL ROOM PLUMPANG</t>
  </si>
  <si>
    <t>30.30.A.B.10.9,53.S.M</t>
  </si>
  <si>
    <t>30.30.A.U.09.9,53.S.M</t>
  </si>
  <si>
    <t>ABIPRAYA - PRIMA, KSO</t>
  </si>
  <si>
    <t>Proyek SEKOLAH RAKYAT PROV JABAR 2</t>
  </si>
  <si>
    <t>30.30.A0.B.06.9,53.S.M K10</t>
  </si>
  <si>
    <t>30.30.A0.U.06.9,53.S.M K10</t>
  </si>
  <si>
    <t>Proyek SEKOLAH RAKYAT PROV JABAR 1 PO 2</t>
  </si>
  <si>
    <t>30.30.A0.M.06.9,53.S.M K10</t>
  </si>
  <si>
    <t>PT HUTAMA KARYA (Persero)</t>
  </si>
  <si>
    <t>SEKOLAH RAKYAT DKI JAKARTA</t>
  </si>
  <si>
    <t>40.40.A0.B.09.S.M K10</t>
  </si>
  <si>
    <t>40.40.A0.U.09.S.M K10</t>
  </si>
  <si>
    <t>HK - ETONA KSO</t>
  </si>
  <si>
    <t>SEKOLAH RAKYAT PROV BANTEN PO 1</t>
  </si>
  <si>
    <t>35.35.B0.S.12.12,7.S.M</t>
  </si>
  <si>
    <t>IV</t>
  </si>
  <si>
    <t>PT. JAYA OBAYASHI</t>
  </si>
  <si>
    <t>PROYEK DATA CENTER JKT 09</t>
  </si>
  <si>
    <t>60 C0 B 12 9 B</t>
  </si>
  <si>
    <t>60 C0 M 13 9 B</t>
  </si>
  <si>
    <t>Yayasan Budha Tzu Chi Indonesia</t>
  </si>
  <si>
    <t>Tzu Chi PIK 3</t>
  </si>
  <si>
    <t>60 A1 M 12 7 B</t>
  </si>
  <si>
    <t>PT. PEMBANGUNAN PERUMAHAN Tbk (PERSERO)</t>
  </si>
  <si>
    <t>NEW PRIOK EASTERN ACCESS (NPEA) (AREA LAUT) - JAKARTA - PO5 - USE PILE</t>
  </si>
  <si>
    <t>60 B0 B 17 9B K3,5</t>
  </si>
  <si>
    <t>PT JAYA OBAYASHI</t>
  </si>
  <si>
    <t>FACTORY &amp; EXTENSION HOKKAN INDONESIA - SUKABUMI</t>
  </si>
  <si>
    <t>W.450.B.1000.16</t>
  </si>
  <si>
    <t>W.500.B.1000.16</t>
  </si>
  <si>
    <t>PT ASKONA MEGAHTAMA</t>
  </si>
  <si>
    <t>PEKERJAAN SHEET PILE AREA C PROYEK PARKLAND PODOMORO LAND</t>
  </si>
  <si>
    <t>W.500.B.1000.17</t>
  </si>
  <si>
    <t>PT PEMBANGUNAN PERUMAHAN (PERSERO) Tbk</t>
  </si>
  <si>
    <t>RANCANG BANGUN TERMINAL KALIBARU</t>
  </si>
  <si>
    <t>W.500.B.1000.06</t>
  </si>
  <si>
    <t>W.600.B.1000.06</t>
  </si>
  <si>
    <t>PT FAJAR PUTRA DINASTI</t>
  </si>
  <si>
    <t>Pekerjaan pembangunan jembatan penghubung Desa Wanajaya dengan Desa Sukajaya , Cibitung</t>
  </si>
  <si>
    <t>W.500.B.1000.12 HAMMER</t>
  </si>
  <si>
    <t>OP I</t>
  </si>
  <si>
    <t>PT SINARMAS LAND</t>
  </si>
  <si>
    <t>PCC CITY DEVELOPMENT - BSD</t>
  </si>
  <si>
    <t>W.500.A.1000.17 H</t>
  </si>
  <si>
    <t>WIKA - PP - KMK - HKI, KSO</t>
  </si>
  <si>
    <t>TOLL JAPEK II SELATAN PAKET 2A</t>
  </si>
  <si>
    <t>W.325.A.1000.09 H</t>
  </si>
  <si>
    <t>W.325.A.1000.12 H</t>
  </si>
  <si>
    <t>PT ARAFAH ALAM SEJAHTERA</t>
  </si>
  <si>
    <t>REVITALISASI KALI PESANGGRAHAN - JAKARTA</t>
  </si>
  <si>
    <t>W.400.A.1000.14 H</t>
  </si>
  <si>
    <t>PT. PP (Persero) Tbk</t>
  </si>
  <si>
    <t>TERMINAL KALIBARU TAHAP 1B TANJUNG PRIOK</t>
  </si>
  <si>
    <t>W.600.B.1000.26</t>
  </si>
  <si>
    <t>PT. RUDI JAYA</t>
  </si>
  <si>
    <t>NORMALISASI WADUK TOMANG - JAKBAR</t>
  </si>
  <si>
    <t>W.400.A.1000.14 V</t>
  </si>
  <si>
    <t>PT. FAJAR PUTRA DINASTI</t>
  </si>
  <si>
    <t>Pekerjaan pembangunan jembatan penghubung desa Wanajaya dengan desa Sukajaya, Cibitung</t>
  </si>
  <si>
    <t>PCT H-240; L-60,8m Tepi Tengah</t>
  </si>
  <si>
    <t>PT Fajar Putra Dinasti</t>
  </si>
  <si>
    <t>Pekerjaan pembangunan jembatan penghubung desa Wanajaya</t>
  </si>
  <si>
    <t>Diaf 1669x1640x400</t>
  </si>
  <si>
    <t>PT. WIJAYA KARYA (PERSERO) Tbk</t>
  </si>
  <si>
    <t>PEMBANGUNAN JALAN TOLL HARBOUR ROAD II ELEVATED</t>
  </si>
  <si>
    <t>PC U Post H-165; L-23,8m; ctc350</t>
  </si>
  <si>
    <t>PC U Post H-165; L-25,8m; ctc350</t>
  </si>
  <si>
    <t>PC U Post H-165; L-26,8m; ctc350</t>
  </si>
  <si>
    <t>PC U Post H185;L-35.8M; ctc350</t>
  </si>
  <si>
    <t>PC U Post H185;L-38.8M ctc 350</t>
  </si>
  <si>
    <t>PC U Post H185;L-40.8M; ctc350</t>
  </si>
  <si>
    <t>PEMBANGUNAN JALAN TOL ANCOL TIMUR - PLUIT</t>
  </si>
  <si>
    <t>PC U Post H-165; L-28,8m</t>
  </si>
  <si>
    <t>PC U Post H-165; L-30,8m</t>
  </si>
  <si>
    <t>HUTAMA - ABIPRAYA - JAYA KONTRUKSI - YASA KSO</t>
  </si>
  <si>
    <t>TOL SERPAN SEKSI 3 FASE 2 PAKET 2</t>
  </si>
  <si>
    <t>Half Slab 1</t>
  </si>
  <si>
    <t>PP-AK-WSKT-MWT, KSO</t>
  </si>
  <si>
    <t>Half Slab Tipe 1</t>
  </si>
  <si>
    <t>PT INDAH KIAT PULP &amp; PAPER Tbk</t>
  </si>
  <si>
    <t>PEKERJAAN PEMBANGUNAN JEMBATAN AKSES UTAMA IKK</t>
  </si>
  <si>
    <t>PC I H-210 ; L31,8M;BALOK</t>
  </si>
  <si>
    <t>PC I H-230 ; L40,8M;BALOK</t>
  </si>
  <si>
    <t>WIKA - NINDYA KSO., PT - WIKA</t>
  </si>
  <si>
    <t>TOLL SERPAN SEKSI 3 FASE 2 PAKET 1</t>
  </si>
  <si>
    <t>H-210 ; L40,8M;BALOK TENGAH</t>
  </si>
  <si>
    <t>PT.WIJAYA KARYA,</t>
  </si>
  <si>
    <t>PROYEK TOLL BSD PAKET 1 DAN PAKET 2 (KM10)</t>
  </si>
  <si>
    <t>W. 450. B. 1000. 09</t>
  </si>
  <si>
    <t>PT. ADHI KARYA (Persero) Dep. Perkeretaapian</t>
  </si>
  <si>
    <t>Proyek JPO Stasiun Harjamukti</t>
  </si>
  <si>
    <t>W.350.A.1000.12</t>
  </si>
  <si>
    <t>PT. TONGGAK AMPUH</t>
  </si>
  <si>
    <t>Save Max Jalan Alt Cibubur</t>
  </si>
  <si>
    <t>FPC 220.C.500 L: 8,5</t>
  </si>
  <si>
    <t>PT. WIKA Dep Energi</t>
  </si>
  <si>
    <t>PLTU Muara Karang</t>
  </si>
  <si>
    <t>W.600.B.1000.19</t>
  </si>
  <si>
    <t>PT. TOKYU CONST INDONESIA</t>
  </si>
  <si>
    <t>W.500.A.1000.12</t>
  </si>
  <si>
    <t>PT. AGUNG NAMASKARA</t>
  </si>
  <si>
    <t>Proyek Underpass Kota Bekasi</t>
  </si>
  <si>
    <t>W.325.A.1000.04</t>
  </si>
  <si>
    <t>Indonesia Pondasi Raya, PT</t>
  </si>
  <si>
    <t>GTN DATA CENTER CIKARANG PO 4</t>
  </si>
  <si>
    <t>PT. PP (PERSERO) TBK</t>
  </si>
  <si>
    <t>PROYEK PEMBANGUNAN KAWASAN BI - KARAWANG</t>
  </si>
  <si>
    <t>40 A3 B 06 7 B</t>
  </si>
  <si>
    <t>YAYASAN AL-RUZHAN</t>
  </si>
  <si>
    <t>KAMPUS STIA AL-RUZHAN</t>
  </si>
  <si>
    <t>35 B0 S 12 7 B K-700</t>
  </si>
  <si>
    <t>PT. SONTON FOOD INDONESIA</t>
  </si>
  <si>
    <t>40x40 A0 U.06. 12,7</t>
  </si>
  <si>
    <t>PT. WASKITA KARYA.</t>
  </si>
  <si>
    <t>Proyek RUSUNAWA di Jakarta</t>
  </si>
  <si>
    <t>40x40 A0.M 09. 9,53</t>
  </si>
  <si>
    <t>PT. BALFOUR BEATTY SAKTI</t>
  </si>
  <si>
    <t>Proyek Gadjah Tunggal KIIC Karawang</t>
  </si>
  <si>
    <t>30x30 A0.U 06. 9,53</t>
  </si>
  <si>
    <t>PT. SINAR MUTIARA INDAH</t>
  </si>
  <si>
    <t>25x25 C0.B 11. 9,53 K 11</t>
  </si>
  <si>
    <t>TOTAL</t>
  </si>
  <si>
    <t>Stockyard</t>
  </si>
  <si>
    <t>Kolom</t>
  </si>
  <si>
    <t>X_Pos</t>
  </si>
  <si>
    <t>Y_Pos</t>
  </si>
  <si>
    <t>Width</t>
  </si>
  <si>
    <t>Height</t>
  </si>
  <si>
    <t>Location</t>
  </si>
  <si>
    <t>H</t>
  </si>
  <si>
    <t>Subang</t>
  </si>
  <si>
    <t xml:space="preserve">JALUR 2 </t>
  </si>
  <si>
    <t>I</t>
  </si>
  <si>
    <t>J</t>
  </si>
  <si>
    <t xml:space="preserve">Stockyard A </t>
  </si>
  <si>
    <t>K</t>
  </si>
  <si>
    <t>Stockyard B1</t>
  </si>
  <si>
    <t>L</t>
  </si>
  <si>
    <t>Stockyard B2</t>
  </si>
  <si>
    <t>M</t>
  </si>
  <si>
    <t>Stockyard C</t>
  </si>
  <si>
    <t>N</t>
  </si>
  <si>
    <t>Stockyard D</t>
  </si>
  <si>
    <t>O</t>
  </si>
  <si>
    <t>Stockyard E</t>
  </si>
  <si>
    <t>P</t>
  </si>
  <si>
    <t xml:space="preserve">Stockyard F </t>
  </si>
  <si>
    <t>Q</t>
  </si>
  <si>
    <t>Karawang</t>
  </si>
  <si>
    <t>Stockyard 1-1</t>
  </si>
  <si>
    <t>R</t>
  </si>
  <si>
    <t>Stockyard 1-2</t>
  </si>
  <si>
    <t>S</t>
  </si>
  <si>
    <t>Stockyard 1-3</t>
  </si>
  <si>
    <t>T</t>
  </si>
  <si>
    <t>Stockyard 1-4</t>
  </si>
  <si>
    <t>U</t>
  </si>
  <si>
    <t>Stockyard 1-5</t>
  </si>
  <si>
    <t>V</t>
  </si>
  <si>
    <t>Stockyard 2-2</t>
  </si>
  <si>
    <t>W</t>
  </si>
  <si>
    <t>Stockyard 2-3</t>
  </si>
  <si>
    <t>X</t>
  </si>
  <si>
    <t>Stockyard 2-4</t>
  </si>
  <si>
    <t>Y</t>
  </si>
  <si>
    <t>Stockyard 2-5</t>
  </si>
  <si>
    <t>Z</t>
  </si>
  <si>
    <t xml:space="preserve">Stockyard Jalur 4 </t>
  </si>
  <si>
    <t>AA</t>
  </si>
  <si>
    <t>Stockyard lain-lain</t>
  </si>
  <si>
    <t>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</si>
</sst>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-m"/>
    <numFmt numFmtId="166" formatCode="[$Rp]#,##0"/>
    <numFmt numFmtId="167" formatCode="&quot;Rp&quot;#,##0"/>
  </numFmts>
  <fonts count="18">
    <font>
      <sz val="10.0"/>
      <color rgb="FF000000"/>
      <name val="Arial"/>
      <scheme val="minor"/>
    </font>
    <font>
      <b/>
      <sz val="12.0"/>
      <color theme="1"/>
      <name val="Calibri"/>
    </font>
    <font/>
    <font>
      <b/>
      <sz val="14.0"/>
      <color theme="1"/>
      <name val="Calibri"/>
    </font>
    <font>
      <b/>
      <i/>
      <sz val="18.0"/>
      <color theme="1"/>
      <name val="Calibri"/>
    </font>
    <font>
      <b/>
      <sz val="11.0"/>
      <color rgb="FF000000"/>
      <name val="Calibri"/>
    </font>
    <font>
      <color theme="1"/>
      <name val="Arial"/>
    </font>
    <font>
      <sz val="12.0"/>
      <color rgb="FF000000"/>
      <name val="Calibri"/>
    </font>
    <font>
      <b/>
      <sz val="12.0"/>
      <color rgb="FF000000"/>
      <name val="Calibri"/>
    </font>
    <font>
      <b/>
      <sz val="11.0"/>
      <color rgb="FFFF0000"/>
      <name val="Calibri"/>
    </font>
    <font>
      <sz val="12.0"/>
      <color theme="1"/>
      <name val="Calibri"/>
    </font>
    <font>
      <b/>
      <sz val="12.0"/>
      <color rgb="FF9C0006"/>
      <name val="Calibri"/>
    </font>
    <font>
      <b/>
      <sz val="9.0"/>
      <color theme="1"/>
      <name val="Arial"/>
    </font>
    <font>
      <b/>
      <color theme="1"/>
      <name val="Arial"/>
    </font>
    <font>
      <b/>
      <color rgb="FF0F1115"/>
      <name val="Quote-cjk-patch"/>
    </font>
    <font>
      <b/>
      <color rgb="FF0F1115"/>
      <name val="Arial"/>
    </font>
    <font>
      <color rgb="FF0F1115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00B0F0"/>
        <bgColor rgb="FF00B0F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FF9900"/>
        <bgColor rgb="FFFF990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right style="double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/>
    </xf>
    <xf borderId="4" fillId="0" fontId="2" numFmtId="0" xfId="0" applyBorder="1" applyFont="1"/>
    <xf borderId="2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5" fillId="0" fontId="2" numFmtId="0" xfId="0" applyBorder="1" applyFont="1"/>
    <xf borderId="2" fillId="0" fontId="2" numFmtId="0" xfId="0" applyBorder="1" applyFont="1"/>
    <xf borderId="1" fillId="2" fontId="3" numFmtId="0" xfId="0" applyAlignment="1" applyBorder="1" applyFont="1">
      <alignment horizontal="center" shrinkToFit="0" wrapText="1"/>
    </xf>
    <xf borderId="2" fillId="3" fontId="1" numFmtId="0" xfId="0" applyAlignment="1" applyBorder="1" applyFill="1" applyFont="1">
      <alignment horizontal="center" shrinkToFit="0" wrapText="1"/>
    </xf>
    <xf borderId="1" fillId="3" fontId="1" numFmtId="3" xfId="0" applyAlignment="1" applyBorder="1" applyFont="1" applyNumberFormat="1">
      <alignment horizontal="center" shrinkToFit="0" wrapText="1"/>
    </xf>
    <xf borderId="6" fillId="2" fontId="4" numFmtId="4" xfId="0" applyAlignment="1" applyBorder="1" applyFont="1" applyNumberFormat="1">
      <alignment horizontal="center" vertical="bottom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/>
    </xf>
    <xf borderId="10" fillId="0" fontId="2" numFmtId="0" xfId="0" applyBorder="1" applyFont="1"/>
    <xf borderId="9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4" fontId="1" numFmtId="164" xfId="0" applyAlignment="1" applyBorder="1" applyFill="1" applyFont="1" applyNumberFormat="1">
      <alignment horizontal="center"/>
    </xf>
    <xf borderId="13" fillId="0" fontId="5" numFmtId="0" xfId="0" applyAlignment="1" applyBorder="1" applyFont="1">
      <alignment horizontal="center" readingOrder="0" shrinkToFit="0" wrapText="0"/>
    </xf>
    <xf borderId="13" fillId="0" fontId="5" numFmtId="0" xfId="0" applyAlignment="1" applyBorder="1" applyFont="1">
      <alignment horizontal="center" readingOrder="0" shrinkToFit="0" vertical="bottom" wrapText="0"/>
    </xf>
    <xf borderId="13" fillId="0" fontId="5" numFmtId="165" xfId="0" applyAlignment="1" applyBorder="1" applyFont="1" applyNumberFormat="1">
      <alignment horizontal="center" readingOrder="0" shrinkToFit="0" wrapText="0"/>
    </xf>
    <xf borderId="9" fillId="3" fontId="6" numFmtId="0" xfId="0" applyBorder="1" applyFont="1"/>
    <xf borderId="13" fillId="2" fontId="4" numFmtId="4" xfId="0" applyAlignment="1" applyBorder="1" applyFont="1" applyNumberFormat="1">
      <alignment vertical="bottom"/>
    </xf>
    <xf borderId="13" fillId="0" fontId="7" numFmtId="0" xfId="0" applyAlignment="1" applyBorder="1" applyFont="1">
      <alignment horizontal="center" readingOrder="0" shrinkToFit="0" vertical="bottom" wrapText="0"/>
    </xf>
    <xf borderId="13" fillId="0" fontId="7" numFmtId="0" xfId="0" applyAlignment="1" applyBorder="1" applyFont="1">
      <alignment horizontal="left" readingOrder="0" shrinkToFit="0" vertical="bottom" wrapText="0"/>
    </xf>
    <xf borderId="13" fillId="0" fontId="8" numFmtId="0" xfId="0" applyAlignment="1" applyBorder="1" applyFont="1">
      <alignment horizontal="center" readingOrder="0" shrinkToFit="0" vertical="bottom" wrapText="0"/>
    </xf>
    <xf borderId="13" fillId="0" fontId="8" numFmtId="0" xfId="0" applyAlignment="1" applyBorder="1" applyFont="1">
      <alignment horizontal="center" shrinkToFit="0" vertical="bottom" wrapText="0"/>
    </xf>
    <xf borderId="13" fillId="0" fontId="6" numFmtId="0" xfId="0" applyAlignment="1" applyBorder="1" applyFont="1">
      <alignment vertical="bottom"/>
    </xf>
    <xf borderId="13" fillId="5" fontId="9" numFmtId="0" xfId="0" applyAlignment="1" applyBorder="1" applyFill="1" applyFont="1">
      <alignment horizontal="center" readingOrder="0" shrinkToFit="0" vertical="bottom" wrapText="0"/>
    </xf>
    <xf borderId="13" fillId="0" fontId="8" numFmtId="166" xfId="0" applyAlignment="1" applyBorder="1" applyFont="1" applyNumberFormat="1">
      <alignment horizontal="center" readingOrder="0" shrinkToFit="0" vertical="bottom" wrapText="0"/>
    </xf>
    <xf borderId="13" fillId="0" fontId="1" numFmtId="3" xfId="0" applyAlignment="1" applyBorder="1" applyFont="1" applyNumberFormat="1">
      <alignment horizontal="center" vertical="bottom"/>
    </xf>
    <xf borderId="13" fillId="0" fontId="8" numFmtId="2" xfId="0" applyAlignment="1" applyBorder="1" applyFont="1" applyNumberFormat="1">
      <alignment horizontal="center" readingOrder="0" shrinkToFit="0" vertical="bottom" wrapText="0"/>
    </xf>
    <xf borderId="13" fillId="0" fontId="8" numFmtId="4" xfId="0" applyAlignment="1" applyBorder="1" applyFont="1" applyNumberFormat="1">
      <alignment horizontal="center" readingOrder="0" shrinkToFit="0" vertical="bottom" wrapText="0"/>
    </xf>
    <xf borderId="13" fillId="0" fontId="8" numFmtId="4" xfId="0" applyAlignment="1" applyBorder="1" applyFont="1" applyNumberFormat="1">
      <alignment horizontal="center" shrinkToFit="0" vertical="bottom" wrapText="0"/>
    </xf>
    <xf borderId="13" fillId="6" fontId="7" numFmtId="0" xfId="0" applyAlignment="1" applyBorder="1" applyFill="1" applyFont="1">
      <alignment horizontal="center" readingOrder="0" shrinkToFit="0" vertical="bottom" wrapText="0"/>
    </xf>
    <xf borderId="14" fillId="0" fontId="7" numFmtId="0" xfId="0" applyAlignment="1" applyBorder="1" applyFont="1">
      <alignment horizontal="center" readingOrder="0" shrinkToFit="0" vertical="bottom" wrapText="0"/>
    </xf>
    <xf borderId="13" fillId="0" fontId="7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horizontal="right" vertical="bottom"/>
    </xf>
    <xf borderId="13" fillId="0" fontId="8" numFmtId="167" xfId="0" applyAlignment="1" applyBorder="1" applyFont="1" applyNumberFormat="1">
      <alignment horizontal="center" readingOrder="0" shrinkToFit="0" vertical="bottom" wrapText="0"/>
    </xf>
    <xf borderId="15" fillId="0" fontId="8" numFmtId="4" xfId="0" applyAlignment="1" applyBorder="1" applyFont="1" applyNumberFormat="1">
      <alignment horizontal="center" readingOrder="0" shrinkToFit="0" vertical="bottom" wrapText="0"/>
    </xf>
    <xf borderId="16" fillId="0" fontId="8" numFmtId="4" xfId="0" applyAlignment="1" applyBorder="1" applyFont="1" applyNumberFormat="1">
      <alignment horizontal="center" readingOrder="0" shrinkToFit="0" vertical="bottom" wrapText="0"/>
    </xf>
    <xf borderId="16" fillId="0" fontId="8" numFmtId="4" xfId="0" applyAlignment="1" applyBorder="1" applyFont="1" applyNumberFormat="1">
      <alignment horizontal="center" shrinkToFit="0" vertical="bottom" wrapText="0"/>
    </xf>
    <xf borderId="13" fillId="7" fontId="6" numFmtId="0" xfId="0" applyAlignment="1" applyBorder="1" applyFill="1" applyFont="1">
      <alignment vertical="bottom"/>
    </xf>
    <xf borderId="13" fillId="0" fontId="1" numFmtId="0" xfId="0" applyAlignment="1" applyBorder="1" applyFont="1">
      <alignment vertical="bottom"/>
    </xf>
    <xf borderId="13" fillId="0" fontId="7" numFmtId="0" xfId="0" applyAlignment="1" applyBorder="1" applyFont="1">
      <alignment readingOrder="0" vertical="bottom"/>
    </xf>
    <xf borderId="13" fillId="8" fontId="6" numFmtId="0" xfId="0" applyAlignment="1" applyBorder="1" applyFill="1" applyFont="1">
      <alignment vertical="bottom"/>
    </xf>
    <xf borderId="13" fillId="0" fontId="8" numFmtId="3" xfId="0" applyAlignment="1" applyBorder="1" applyFont="1" applyNumberFormat="1">
      <alignment horizontal="center" readingOrder="0" shrinkToFit="0" vertical="bottom" wrapText="0"/>
    </xf>
    <xf borderId="13" fillId="0" fontId="1" numFmtId="3" xfId="0" applyAlignment="1" applyBorder="1" applyFont="1" applyNumberFormat="1">
      <alignment horizontal="right" vertical="bottom"/>
    </xf>
    <xf borderId="13" fillId="5" fontId="9" numFmtId="3" xfId="0" applyAlignment="1" applyBorder="1" applyFont="1" applyNumberFormat="1">
      <alignment horizontal="center" readingOrder="0" shrinkToFit="0" vertical="bottom" wrapText="0"/>
    </xf>
    <xf borderId="13" fillId="0" fontId="7" numFmtId="0" xfId="0" applyAlignment="1" applyBorder="1" applyFont="1">
      <alignment shrinkToFit="0" vertical="bottom" wrapText="0"/>
    </xf>
    <xf borderId="13" fillId="9" fontId="6" numFmtId="0" xfId="0" applyAlignment="1" applyBorder="1" applyFill="1" applyFont="1">
      <alignment vertical="bottom"/>
    </xf>
    <xf borderId="8" fillId="0" fontId="7" numFmtId="0" xfId="0" applyAlignment="1" applyBorder="1" applyFont="1">
      <alignment readingOrder="0" shrinkToFit="0" vertical="bottom" wrapText="0"/>
    </xf>
    <xf borderId="8" fillId="0" fontId="7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horizontal="center" readingOrder="0" shrinkToFit="0" vertical="bottom" wrapText="0"/>
    </xf>
    <xf borderId="7" fillId="0" fontId="8" numFmtId="0" xfId="0" applyAlignment="1" applyBorder="1" applyFont="1">
      <alignment horizontal="center" shrinkToFit="0" vertical="bottom" wrapText="0"/>
    </xf>
    <xf borderId="8" fillId="0" fontId="8" numFmtId="0" xfId="0" applyAlignment="1" applyBorder="1" applyFont="1">
      <alignment horizontal="center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8" fillId="5" fontId="9" numFmtId="0" xfId="0" applyAlignment="1" applyBorder="1" applyFont="1">
      <alignment horizontal="center" readingOrder="0" shrinkToFit="0" vertical="bottom" wrapText="0"/>
    </xf>
    <xf borderId="8" fillId="0" fontId="5" numFmtId="0" xfId="0" applyAlignment="1" applyBorder="1" applyFont="1">
      <alignment horizontal="center" readingOrder="0" shrinkToFit="0" vertical="bottom" wrapText="0"/>
    </xf>
    <xf borderId="7" fillId="0" fontId="8" numFmtId="167" xfId="0" applyAlignment="1" applyBorder="1" applyFont="1" applyNumberFormat="1">
      <alignment horizontal="center" readingOrder="0" shrinkToFit="0" vertical="bottom" wrapText="0"/>
    </xf>
    <xf borderId="8" fillId="0" fontId="8" numFmtId="167" xfId="0" applyAlignment="1" applyBorder="1" applyFont="1" applyNumberFormat="1">
      <alignment horizontal="center" readingOrder="0" shrinkToFit="0" vertical="bottom" wrapText="0"/>
    </xf>
    <xf borderId="7" fillId="0" fontId="8" numFmtId="4" xfId="0" applyAlignment="1" applyBorder="1" applyFont="1" applyNumberFormat="1">
      <alignment horizontal="center" shrinkToFit="0" vertical="bottom" wrapText="0"/>
    </xf>
    <xf borderId="8" fillId="0" fontId="8" numFmtId="4" xfId="0" applyAlignment="1" applyBorder="1" applyFont="1" applyNumberFormat="1">
      <alignment horizontal="center" shrinkToFit="0" vertical="bottom" wrapText="0"/>
    </xf>
    <xf borderId="17" fillId="0" fontId="8" numFmtId="4" xfId="0" applyAlignment="1" applyBorder="1" applyFont="1" applyNumberFormat="1">
      <alignment horizontal="center" readingOrder="0" shrinkToFit="0" vertical="bottom" wrapText="0"/>
    </xf>
    <xf borderId="12" fillId="0" fontId="10" numFmtId="0" xfId="0" applyAlignment="1" applyBorder="1" applyFont="1">
      <alignment horizontal="center"/>
    </xf>
    <xf borderId="13" fillId="0" fontId="10" numFmtId="0" xfId="0" applyAlignment="1" applyBorder="1" applyFont="1">
      <alignment vertical="bottom"/>
    </xf>
    <xf borderId="13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13" fillId="5" fontId="11" numFmtId="0" xfId="0" applyAlignment="1" applyBorder="1" applyFont="1">
      <alignment horizontal="center" vertical="bottom"/>
    </xf>
    <xf borderId="13" fillId="0" fontId="1" numFmtId="167" xfId="0" applyAlignment="1" applyBorder="1" applyFont="1" applyNumberFormat="1">
      <alignment horizontal="center" vertical="bottom"/>
    </xf>
    <xf borderId="13" fillId="0" fontId="6" numFmtId="4" xfId="0" applyAlignment="1" applyBorder="1" applyFont="1" applyNumberFormat="1">
      <alignment vertical="bottom"/>
    </xf>
    <xf borderId="13" fillId="0" fontId="1" numFmtId="4" xfId="0" applyAlignment="1" applyBorder="1" applyFont="1" applyNumberFormat="1">
      <alignment horizontal="center" vertical="bottom"/>
    </xf>
    <xf borderId="8" fillId="0" fontId="12" numFmtId="167" xfId="0" applyAlignment="1" applyBorder="1" applyFont="1" applyNumberFormat="1">
      <alignment horizontal="right" vertical="bottom"/>
    </xf>
    <xf borderId="12" fillId="0" fontId="6" numFmtId="0" xfId="0" applyBorder="1" applyFont="1"/>
    <xf borderId="13" fillId="0" fontId="6" numFmtId="167" xfId="0" applyAlignment="1" applyBorder="1" applyFont="1" applyNumberFormat="1">
      <alignment vertical="bottom"/>
    </xf>
    <xf borderId="13" fillId="0" fontId="6" numFmtId="3" xfId="0" applyAlignment="1" applyBorder="1" applyFont="1" applyNumberFormat="1">
      <alignment vertical="bottom"/>
    </xf>
    <xf borderId="7" fillId="0" fontId="6" numFmtId="0" xfId="0" applyAlignment="1" applyBorder="1" applyFont="1">
      <alignment vertical="bottom"/>
    </xf>
    <xf borderId="18" fillId="2" fontId="13" numFmtId="0" xfId="0" applyAlignment="1" applyBorder="1" applyFont="1">
      <alignment horizontal="center" vertical="bottom"/>
    </xf>
    <xf borderId="3" fillId="0" fontId="2" numFmtId="0" xfId="0" applyBorder="1" applyFont="1"/>
    <xf borderId="13" fillId="2" fontId="13" numFmtId="1" xfId="0" applyAlignment="1" applyBorder="1" applyFont="1" applyNumberFormat="1">
      <alignment horizontal="center" vertical="bottom"/>
    </xf>
    <xf borderId="13" fillId="10" fontId="14" numFmtId="0" xfId="0" applyAlignment="1" applyBorder="1" applyFill="1" applyFont="1">
      <alignment horizontal="center" vertical="bottom"/>
    </xf>
    <xf borderId="4" fillId="10" fontId="14" numFmtId="0" xfId="0" applyAlignment="1" applyBorder="1" applyFont="1">
      <alignment horizontal="center" vertical="bottom"/>
    </xf>
    <xf borderId="4" fillId="10" fontId="15" numFmtId="0" xfId="0" applyAlignment="1" applyBorder="1" applyFont="1">
      <alignment horizontal="center" vertical="bottom"/>
    </xf>
    <xf borderId="4" fillId="10" fontId="13" numFmtId="0" xfId="0" applyAlignment="1" applyBorder="1" applyFont="1">
      <alignment horizontal="center" vertical="bottom"/>
    </xf>
    <xf borderId="12" fillId="7" fontId="16" numFmtId="0" xfId="0" applyAlignment="1" applyBorder="1" applyFont="1">
      <alignment horizontal="center" readingOrder="0" vertical="bottom"/>
    </xf>
    <xf borderId="9" fillId="7" fontId="6" numFmtId="0" xfId="0" applyAlignment="1" applyBorder="1" applyFont="1">
      <alignment horizontal="center" vertical="bottom"/>
    </xf>
    <xf borderId="9" fillId="7" fontId="6" numFmtId="0" xfId="0" applyAlignment="1" applyBorder="1" applyFont="1">
      <alignment horizontal="center" readingOrder="0" vertical="bottom"/>
    </xf>
    <xf borderId="13" fillId="0" fontId="13" numFmtId="0" xfId="0" applyAlignment="1" applyBorder="1" applyFont="1">
      <alignment readingOrder="0" vertical="bottom"/>
    </xf>
    <xf borderId="9" fillId="7" fontId="16" numFmtId="0" xfId="0" applyAlignment="1" applyBorder="1" applyFont="1">
      <alignment horizontal="center" vertical="bottom"/>
    </xf>
    <xf borderId="13" fillId="7" fontId="16" numFmtId="0" xfId="0" applyAlignment="1" applyBorder="1" applyFont="1">
      <alignment horizontal="center" readingOrder="0" vertical="bottom"/>
    </xf>
    <xf borderId="13" fillId="0" fontId="1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3" max="3" width="94.13"/>
    <col customWidth="1" min="4" max="4" width="39.5"/>
    <col hidden="1" min="29" max="30" width="12.63"/>
    <col customWidth="1" min="34" max="34" width="14.63"/>
    <col customWidth="1" min="35" max="35" width="15.75"/>
    <col customWidth="1" min="36" max="36" width="3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5" t="s">
        <v>5</v>
      </c>
      <c r="H1" s="6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/>
      <c r="AE1" s="2" t="str">
        <f>H1</f>
        <v>OPNAME FISIK s/d SAAT INI</v>
      </c>
      <c r="AF1" s="9" t="s">
        <v>7</v>
      </c>
      <c r="AG1" s="10" t="s">
        <v>8</v>
      </c>
      <c r="AH1" s="10" t="s">
        <v>9</v>
      </c>
      <c r="AI1" s="10" t="s">
        <v>10</v>
      </c>
      <c r="AJ1" s="11" t="s">
        <v>11</v>
      </c>
      <c r="AK1" s="12" t="s">
        <v>12</v>
      </c>
      <c r="AL1" s="7"/>
      <c r="AM1" s="7"/>
      <c r="AN1" s="7"/>
      <c r="AO1" s="7"/>
      <c r="AP1" s="8"/>
    </row>
    <row r="2">
      <c r="A2" s="13"/>
      <c r="B2" s="14"/>
      <c r="C2" s="14"/>
      <c r="D2" s="14"/>
      <c r="E2" s="15" t="s">
        <v>13</v>
      </c>
      <c r="F2" s="15" t="s">
        <v>14</v>
      </c>
      <c r="G2" s="14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7"/>
      <c r="AE2" s="14"/>
      <c r="AF2" s="13"/>
      <c r="AG2" s="14"/>
      <c r="AH2" s="14"/>
      <c r="AI2" s="14"/>
      <c r="AJ2" s="13"/>
      <c r="AK2" s="18"/>
      <c r="AP2" s="14"/>
    </row>
    <row r="3">
      <c r="A3" s="19"/>
      <c r="B3" s="17"/>
      <c r="C3" s="17"/>
      <c r="D3" s="17"/>
      <c r="E3" s="20">
        <v>46118.0</v>
      </c>
      <c r="F3" s="20">
        <f>E3</f>
        <v>46118</v>
      </c>
      <c r="G3" s="17"/>
      <c r="H3" s="21" t="s">
        <v>15</v>
      </c>
      <c r="I3" s="21" t="s">
        <v>16</v>
      </c>
      <c r="J3" s="21" t="s">
        <v>17</v>
      </c>
      <c r="K3" s="22" t="s">
        <v>18</v>
      </c>
      <c r="L3" s="22" t="s">
        <v>19</v>
      </c>
      <c r="M3" s="22" t="s">
        <v>20</v>
      </c>
      <c r="N3" s="22" t="s">
        <v>21</v>
      </c>
      <c r="O3" s="22" t="s">
        <v>22</v>
      </c>
      <c r="P3" s="22" t="s">
        <v>23</v>
      </c>
      <c r="Q3" s="22" t="s">
        <v>24</v>
      </c>
      <c r="R3" s="23">
        <v>46023.0</v>
      </c>
      <c r="S3" s="23">
        <v>46054.0</v>
      </c>
      <c r="T3" s="23">
        <v>46082.0</v>
      </c>
      <c r="U3" s="23">
        <v>46113.0</v>
      </c>
      <c r="V3" s="23">
        <v>46143.0</v>
      </c>
      <c r="W3" s="23">
        <v>46055.0</v>
      </c>
      <c r="X3" s="23">
        <v>46083.0</v>
      </c>
      <c r="Y3" s="23">
        <v>46114.0</v>
      </c>
      <c r="Z3" s="23">
        <v>46144.0</v>
      </c>
      <c r="AA3" s="21" t="s">
        <v>25</v>
      </c>
      <c r="AB3" s="21" t="s">
        <v>26</v>
      </c>
      <c r="AC3" s="24"/>
      <c r="AD3" s="24"/>
      <c r="AE3" s="17"/>
      <c r="AF3" s="19"/>
      <c r="AG3" s="17"/>
      <c r="AH3" s="17"/>
      <c r="AI3" s="17"/>
      <c r="AJ3" s="19"/>
      <c r="AK3" s="25" t="s">
        <v>27</v>
      </c>
      <c r="AL3" s="25" t="s">
        <v>28</v>
      </c>
      <c r="AM3" s="25" t="s">
        <v>29</v>
      </c>
      <c r="AN3" s="25" t="s">
        <v>30</v>
      </c>
      <c r="AO3" s="25" t="s">
        <v>31</v>
      </c>
      <c r="AP3" s="25" t="s">
        <v>32</v>
      </c>
    </row>
    <row r="4">
      <c r="A4" s="26">
        <v>1.0</v>
      </c>
      <c r="B4" s="27" t="s">
        <v>33</v>
      </c>
      <c r="C4" s="27" t="s">
        <v>34</v>
      </c>
      <c r="D4" s="27" t="s">
        <v>35</v>
      </c>
      <c r="E4" s="28">
        <v>180.0</v>
      </c>
      <c r="F4" s="28">
        <v>0.0</v>
      </c>
      <c r="G4" s="28">
        <v>180.0</v>
      </c>
      <c r="H4" s="29"/>
      <c r="I4" s="29"/>
      <c r="J4" s="28">
        <v>180.0</v>
      </c>
      <c r="K4" s="29"/>
      <c r="L4" s="29"/>
      <c r="M4" s="29"/>
      <c r="N4" s="29"/>
      <c r="O4" s="29"/>
      <c r="P4" s="29"/>
      <c r="Q4" s="29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22">
        <v>180.0</v>
      </c>
      <c r="AF4" s="31">
        <v>0.0</v>
      </c>
      <c r="AG4" s="22" t="s">
        <v>36</v>
      </c>
      <c r="AH4" s="32">
        <v>2167052.0</v>
      </c>
      <c r="AI4" s="32">
        <v>3.9006936E8</v>
      </c>
      <c r="AJ4" s="33" t="str">
        <f t="shared" ref="AJ4:AJ80" si="1">TEXTJOIN("; ",TRUE,
IF(AK4&gt;0,"&lt;30 hari",""),
IF(AL4&gt;0,"30-60 hari",""),
IF(AM4&gt;0,"60-90 hari",""),
IF(AN4&gt;0,"90-180 hari",""),
IF(AO4&gt;0,"180-365 hari",""),
IF(AP4&gt;0,"&gt;1 tahun",""))
</f>
        <v>&lt;30 hari; 30-60 hari</v>
      </c>
      <c r="AK4" s="34">
        <v>84.0</v>
      </c>
      <c r="AL4" s="34">
        <v>96.0</v>
      </c>
      <c r="AM4" s="29"/>
      <c r="AN4" s="29"/>
      <c r="AO4" s="29"/>
      <c r="AP4" s="29"/>
    </row>
    <row r="5">
      <c r="A5" s="26">
        <v>2.0</v>
      </c>
      <c r="B5" s="27" t="s">
        <v>33</v>
      </c>
      <c r="C5" s="27" t="s">
        <v>34</v>
      </c>
      <c r="D5" s="27" t="s">
        <v>37</v>
      </c>
      <c r="E5" s="28">
        <v>180.0</v>
      </c>
      <c r="F5" s="28">
        <v>0.0</v>
      </c>
      <c r="G5" s="28">
        <v>180.0</v>
      </c>
      <c r="H5" s="29"/>
      <c r="I5" s="29"/>
      <c r="J5" s="28">
        <v>180.0</v>
      </c>
      <c r="K5" s="29"/>
      <c r="L5" s="29"/>
      <c r="M5" s="29"/>
      <c r="N5" s="29"/>
      <c r="O5" s="29"/>
      <c r="P5" s="29"/>
      <c r="Q5" s="29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22">
        <v>180.0</v>
      </c>
      <c r="AF5" s="31">
        <v>0.0</v>
      </c>
      <c r="AG5" s="22" t="s">
        <v>36</v>
      </c>
      <c r="AH5" s="32">
        <v>1610413.0</v>
      </c>
      <c r="AI5" s="32">
        <v>2.8987434E8</v>
      </c>
      <c r="AJ5" s="33" t="str">
        <f t="shared" si="1"/>
        <v>&lt;30 hari; 30-60 hari</v>
      </c>
      <c r="AK5" s="35">
        <v>85.0</v>
      </c>
      <c r="AL5" s="35">
        <v>95.0</v>
      </c>
      <c r="AM5" s="36"/>
      <c r="AN5" s="36"/>
      <c r="AO5" s="36"/>
      <c r="AP5" s="36"/>
    </row>
    <row r="6">
      <c r="A6" s="26">
        <v>3.0</v>
      </c>
      <c r="B6" s="27" t="s">
        <v>33</v>
      </c>
      <c r="C6" s="27" t="s">
        <v>38</v>
      </c>
      <c r="D6" s="27" t="s">
        <v>39</v>
      </c>
      <c r="E6" s="28">
        <v>14.0</v>
      </c>
      <c r="F6" s="28">
        <v>0.0</v>
      </c>
      <c r="G6" s="28">
        <v>14.0</v>
      </c>
      <c r="H6" s="29"/>
      <c r="I6" s="29"/>
      <c r="J6" s="28">
        <v>14.0</v>
      </c>
      <c r="K6" s="29"/>
      <c r="L6" s="29"/>
      <c r="M6" s="29"/>
      <c r="N6" s="29"/>
      <c r="O6" s="29"/>
      <c r="P6" s="29"/>
      <c r="Q6" s="29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22">
        <v>14.0</v>
      </c>
      <c r="AF6" s="31">
        <v>0.0</v>
      </c>
      <c r="AG6" s="22" t="s">
        <v>36</v>
      </c>
      <c r="AH6" s="32">
        <v>1578956.0</v>
      </c>
      <c r="AI6" s="32">
        <v>2.2105384E7</v>
      </c>
      <c r="AJ6" s="33" t="str">
        <f t="shared" si="1"/>
        <v>&lt;30 hari</v>
      </c>
      <c r="AK6" s="35">
        <v>14.0</v>
      </c>
      <c r="AL6" s="36"/>
      <c r="AM6" s="36"/>
      <c r="AN6" s="36"/>
      <c r="AO6" s="36"/>
      <c r="AP6" s="36"/>
    </row>
    <row r="7">
      <c r="A7" s="26">
        <v>4.0</v>
      </c>
      <c r="B7" s="27" t="s">
        <v>33</v>
      </c>
      <c r="C7" s="27" t="s">
        <v>38</v>
      </c>
      <c r="D7" s="27" t="s">
        <v>40</v>
      </c>
      <c r="E7" s="28">
        <v>200.0</v>
      </c>
      <c r="F7" s="28">
        <v>0.0</v>
      </c>
      <c r="G7" s="28">
        <v>200.0</v>
      </c>
      <c r="H7" s="29"/>
      <c r="I7" s="29"/>
      <c r="J7" s="28">
        <v>200.0</v>
      </c>
      <c r="K7" s="29"/>
      <c r="L7" s="29"/>
      <c r="M7" s="29"/>
      <c r="N7" s="29"/>
      <c r="O7" s="29"/>
      <c r="P7" s="29"/>
      <c r="Q7" s="29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22">
        <v>200.0</v>
      </c>
      <c r="AF7" s="31">
        <v>0.0</v>
      </c>
      <c r="AG7" s="22" t="s">
        <v>36</v>
      </c>
      <c r="AH7" s="32">
        <v>1982957.0</v>
      </c>
      <c r="AI7" s="32">
        <v>3.965914E8</v>
      </c>
      <c r="AJ7" s="33" t="str">
        <f t="shared" si="1"/>
        <v>&lt;30 hari; 30-60 hari</v>
      </c>
      <c r="AK7" s="35">
        <v>113.0</v>
      </c>
      <c r="AL7" s="35">
        <v>87.0</v>
      </c>
      <c r="AM7" s="36"/>
      <c r="AN7" s="36"/>
      <c r="AO7" s="36"/>
      <c r="AP7" s="36"/>
    </row>
    <row r="8">
      <c r="A8" s="26">
        <v>5.0</v>
      </c>
      <c r="B8" s="27" t="s">
        <v>41</v>
      </c>
      <c r="C8" s="27" t="s">
        <v>42</v>
      </c>
      <c r="D8" s="27" t="s">
        <v>43</v>
      </c>
      <c r="E8" s="28">
        <v>293.0</v>
      </c>
      <c r="F8" s="28">
        <v>0.0</v>
      </c>
      <c r="G8" s="28">
        <v>293.0</v>
      </c>
      <c r="H8" s="29"/>
      <c r="I8" s="29"/>
      <c r="J8" s="28">
        <v>293.0</v>
      </c>
      <c r="K8" s="29"/>
      <c r="L8" s="29"/>
      <c r="M8" s="29"/>
      <c r="N8" s="29"/>
      <c r="O8" s="29"/>
      <c r="P8" s="29"/>
      <c r="Q8" s="29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22">
        <v>293.0</v>
      </c>
      <c r="AF8" s="31">
        <v>0.0</v>
      </c>
      <c r="AG8" s="22" t="s">
        <v>36</v>
      </c>
      <c r="AH8" s="32">
        <v>1093001.0</v>
      </c>
      <c r="AI8" s="32">
        <v>3.20249284E8</v>
      </c>
      <c r="AJ8" s="33" t="str">
        <f t="shared" si="1"/>
        <v>&lt;30 hari; 30-60 hari</v>
      </c>
      <c r="AK8" s="35">
        <v>189.0</v>
      </c>
      <c r="AL8" s="35">
        <v>104.0</v>
      </c>
      <c r="AM8" s="36"/>
      <c r="AN8" s="36"/>
      <c r="AO8" s="36"/>
      <c r="AP8" s="36"/>
    </row>
    <row r="9">
      <c r="A9" s="26">
        <v>6.0</v>
      </c>
      <c r="B9" s="27" t="s">
        <v>44</v>
      </c>
      <c r="C9" s="27" t="s">
        <v>45</v>
      </c>
      <c r="D9" s="27" t="s">
        <v>46</v>
      </c>
      <c r="E9" s="28">
        <v>76.0</v>
      </c>
      <c r="F9" s="28">
        <v>0.0</v>
      </c>
      <c r="G9" s="28">
        <v>76.0</v>
      </c>
      <c r="H9" s="29"/>
      <c r="I9" s="29"/>
      <c r="J9" s="28">
        <v>76.0</v>
      </c>
      <c r="K9" s="29"/>
      <c r="L9" s="29"/>
      <c r="M9" s="29"/>
      <c r="N9" s="29"/>
      <c r="O9" s="29"/>
      <c r="P9" s="29"/>
      <c r="Q9" s="29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22">
        <v>76.0</v>
      </c>
      <c r="AF9" s="31">
        <v>0.0</v>
      </c>
      <c r="AG9" s="22" t="s">
        <v>36</v>
      </c>
      <c r="AH9" s="32" t="s">
        <v>47</v>
      </c>
      <c r="AI9" s="32">
        <v>6.7607396E7</v>
      </c>
      <c r="AJ9" s="33" t="str">
        <f t="shared" si="1"/>
        <v>&lt;30 hari</v>
      </c>
      <c r="AK9" s="35">
        <v>76.0</v>
      </c>
      <c r="AL9" s="36"/>
      <c r="AM9" s="36"/>
      <c r="AN9" s="36"/>
      <c r="AO9" s="36"/>
      <c r="AP9" s="36"/>
    </row>
    <row r="10">
      <c r="A10" s="26">
        <v>7.0</v>
      </c>
      <c r="B10" s="27" t="s">
        <v>48</v>
      </c>
      <c r="C10" s="27" t="s">
        <v>49</v>
      </c>
      <c r="D10" s="27" t="s">
        <v>50</v>
      </c>
      <c r="E10" s="28">
        <v>23.0</v>
      </c>
      <c r="F10" s="28">
        <v>0.0</v>
      </c>
      <c r="G10" s="28">
        <v>23.0</v>
      </c>
      <c r="H10" s="29"/>
      <c r="I10" s="29"/>
      <c r="J10" s="29"/>
      <c r="K10" s="28">
        <v>23.0</v>
      </c>
      <c r="L10" s="29"/>
      <c r="M10" s="29"/>
      <c r="N10" s="29"/>
      <c r="O10" s="29"/>
      <c r="P10" s="29"/>
      <c r="Q10" s="29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22">
        <v>23.0</v>
      </c>
      <c r="AF10" s="31">
        <v>0.0</v>
      </c>
      <c r="AG10" s="22" t="s">
        <v>36</v>
      </c>
      <c r="AH10" s="32">
        <v>6478741.0</v>
      </c>
      <c r="AI10" s="32">
        <v>1.49011043E8</v>
      </c>
      <c r="AJ10" s="33" t="str">
        <f t="shared" si="1"/>
        <v>30-60 hari</v>
      </c>
      <c r="AK10" s="36"/>
      <c r="AL10" s="35">
        <v>23.0</v>
      </c>
      <c r="AM10" s="36"/>
      <c r="AN10" s="36"/>
      <c r="AO10" s="36"/>
      <c r="AP10" s="36"/>
    </row>
    <row r="11">
      <c r="A11" s="26">
        <v>8.0</v>
      </c>
      <c r="B11" s="27" t="s">
        <v>48</v>
      </c>
      <c r="C11" s="27" t="s">
        <v>49</v>
      </c>
      <c r="D11" s="27" t="s">
        <v>50</v>
      </c>
      <c r="E11" s="28">
        <v>190.0</v>
      </c>
      <c r="F11" s="28">
        <v>0.0</v>
      </c>
      <c r="G11" s="28">
        <v>190.0</v>
      </c>
      <c r="H11" s="29"/>
      <c r="I11" s="29"/>
      <c r="J11" s="28">
        <v>85.0</v>
      </c>
      <c r="K11" s="29"/>
      <c r="L11" s="29"/>
      <c r="M11" s="28">
        <v>47.0</v>
      </c>
      <c r="N11" s="29"/>
      <c r="O11" s="28">
        <v>58.0</v>
      </c>
      <c r="P11" s="29"/>
      <c r="Q11" s="29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22">
        <v>190.0</v>
      </c>
      <c r="AF11" s="31">
        <v>0.0</v>
      </c>
      <c r="AG11" s="22" t="s">
        <v>36</v>
      </c>
      <c r="AH11" s="32">
        <v>6478741.0</v>
      </c>
      <c r="AI11" s="32">
        <v>1.23096079E9</v>
      </c>
      <c r="AJ11" s="33" t="str">
        <f t="shared" si="1"/>
        <v>&lt;30 hari</v>
      </c>
      <c r="AK11" s="35">
        <v>190.0</v>
      </c>
      <c r="AL11" s="36"/>
      <c r="AM11" s="36"/>
      <c r="AN11" s="36"/>
      <c r="AO11" s="36"/>
      <c r="AP11" s="36"/>
    </row>
    <row r="12">
      <c r="A12" s="26">
        <v>9.0</v>
      </c>
      <c r="B12" s="27" t="s">
        <v>51</v>
      </c>
      <c r="C12" s="27" t="s">
        <v>52</v>
      </c>
      <c r="D12" s="27" t="s">
        <v>53</v>
      </c>
      <c r="E12" s="28">
        <v>299.0</v>
      </c>
      <c r="F12" s="28">
        <v>0.0</v>
      </c>
      <c r="G12" s="28">
        <v>299.0</v>
      </c>
      <c r="H12" s="29"/>
      <c r="I12" s="28">
        <v>60.0</v>
      </c>
      <c r="J12" s="28">
        <v>131.0</v>
      </c>
      <c r="K12" s="29"/>
      <c r="L12" s="28">
        <v>108.0</v>
      </c>
      <c r="M12" s="29"/>
      <c r="N12" s="29"/>
      <c r="O12" s="29"/>
      <c r="P12" s="29"/>
      <c r="Q12" s="29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22">
        <v>299.0</v>
      </c>
      <c r="AF12" s="31">
        <v>0.0</v>
      </c>
      <c r="AG12" s="22" t="s">
        <v>36</v>
      </c>
      <c r="AH12" s="32">
        <v>5240048.0</v>
      </c>
      <c r="AI12" s="32">
        <v>1.566774352E9</v>
      </c>
      <c r="AJ12" s="33" t="str">
        <f t="shared" si="1"/>
        <v>&lt;30 hari; 30-60 hari</v>
      </c>
      <c r="AK12" s="35">
        <v>190.0</v>
      </c>
      <c r="AL12" s="35">
        <v>109.0</v>
      </c>
      <c r="AM12" s="36"/>
      <c r="AN12" s="36"/>
      <c r="AO12" s="36"/>
      <c r="AP12" s="36"/>
    </row>
    <row r="13">
      <c r="A13" s="26">
        <v>10.0</v>
      </c>
      <c r="B13" s="27" t="s">
        <v>51</v>
      </c>
      <c r="C13" s="27" t="s">
        <v>52</v>
      </c>
      <c r="D13" s="27" t="s">
        <v>54</v>
      </c>
      <c r="E13" s="28">
        <v>124.0</v>
      </c>
      <c r="F13" s="28">
        <v>0.0</v>
      </c>
      <c r="G13" s="28">
        <v>124.0</v>
      </c>
      <c r="H13" s="29"/>
      <c r="I13" s="28">
        <v>69.0</v>
      </c>
      <c r="J13" s="28">
        <v>55.0</v>
      </c>
      <c r="K13" s="29"/>
      <c r="L13" s="29"/>
      <c r="M13" s="29"/>
      <c r="N13" s="29"/>
      <c r="O13" s="29"/>
      <c r="P13" s="29"/>
      <c r="Q13" s="29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22">
        <v>124.0</v>
      </c>
      <c r="AF13" s="31">
        <v>0.0</v>
      </c>
      <c r="AG13" s="22" t="s">
        <v>36</v>
      </c>
      <c r="AH13" s="32">
        <v>4025520.0</v>
      </c>
      <c r="AI13" s="32">
        <v>4.9916448E8</v>
      </c>
      <c r="AJ13" s="33" t="str">
        <f t="shared" si="1"/>
        <v>&lt;30 hari; 30-60 hari</v>
      </c>
      <c r="AK13" s="35">
        <v>55.0</v>
      </c>
      <c r="AL13" s="35">
        <v>69.0</v>
      </c>
      <c r="AM13" s="36"/>
      <c r="AN13" s="36"/>
      <c r="AO13" s="36"/>
      <c r="AP13" s="36"/>
    </row>
    <row r="14">
      <c r="A14" s="26">
        <v>11.0</v>
      </c>
      <c r="B14" s="27" t="s">
        <v>55</v>
      </c>
      <c r="C14" s="27" t="s">
        <v>56</v>
      </c>
      <c r="D14" s="27" t="s">
        <v>57</v>
      </c>
      <c r="E14" s="28">
        <v>240.0</v>
      </c>
      <c r="F14" s="28">
        <v>0.0</v>
      </c>
      <c r="G14" s="28">
        <v>240.0</v>
      </c>
      <c r="H14" s="29"/>
      <c r="I14" s="28">
        <v>40.0</v>
      </c>
      <c r="J14" s="28">
        <v>124.0</v>
      </c>
      <c r="K14" s="29"/>
      <c r="L14" s="28">
        <v>30.0</v>
      </c>
      <c r="M14" s="28">
        <v>46.0</v>
      </c>
      <c r="N14" s="29"/>
      <c r="O14" s="29"/>
      <c r="P14" s="29"/>
      <c r="Q14" s="29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22">
        <v>240.0</v>
      </c>
      <c r="AF14" s="31">
        <v>0.0</v>
      </c>
      <c r="AG14" s="22" t="s">
        <v>36</v>
      </c>
      <c r="AH14" s="32">
        <v>2.0417748E7</v>
      </c>
      <c r="AI14" s="32">
        <v>4.90025952E9</v>
      </c>
      <c r="AJ14" s="33" t="str">
        <f t="shared" si="1"/>
        <v>&lt;30 hari; 30-60 hari</v>
      </c>
      <c r="AK14" s="35">
        <v>108.0</v>
      </c>
      <c r="AL14" s="35">
        <v>132.0</v>
      </c>
      <c r="AM14" s="36"/>
      <c r="AN14" s="36"/>
      <c r="AO14" s="36"/>
      <c r="AP14" s="36"/>
    </row>
    <row r="15">
      <c r="A15" s="26">
        <v>31.0</v>
      </c>
      <c r="B15" s="27" t="s">
        <v>58</v>
      </c>
      <c r="C15" s="27" t="s">
        <v>59</v>
      </c>
      <c r="D15" s="27" t="s">
        <v>60</v>
      </c>
      <c r="E15" s="28">
        <v>24.0</v>
      </c>
      <c r="F15" s="28">
        <v>0.0</v>
      </c>
      <c r="G15" s="28">
        <v>24.0</v>
      </c>
      <c r="H15" s="29"/>
      <c r="I15" s="29"/>
      <c r="J15" s="29"/>
      <c r="K15" s="29"/>
      <c r="L15" s="29"/>
      <c r="M15" s="29"/>
      <c r="N15" s="28">
        <v>24.0</v>
      </c>
      <c r="O15" s="29"/>
      <c r="P15" s="29"/>
      <c r="Q15" s="29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22">
        <v>24.0</v>
      </c>
      <c r="AF15" s="31">
        <v>0.0</v>
      </c>
      <c r="AG15" s="22" t="s">
        <v>36</v>
      </c>
      <c r="AH15" s="32">
        <v>3331500.0</v>
      </c>
      <c r="AI15" s="32">
        <v>7.9956E7</v>
      </c>
      <c r="AJ15" s="33" t="str">
        <f t="shared" si="1"/>
        <v>&lt;30 hari</v>
      </c>
      <c r="AK15" s="35">
        <v>24.0</v>
      </c>
      <c r="AL15" s="36"/>
      <c r="AM15" s="36"/>
      <c r="AN15" s="36"/>
      <c r="AO15" s="36"/>
      <c r="AP15" s="36"/>
    </row>
    <row r="16">
      <c r="A16" s="26">
        <v>32.0</v>
      </c>
      <c r="B16" s="27" t="s">
        <v>58</v>
      </c>
      <c r="C16" s="27" t="s">
        <v>59</v>
      </c>
      <c r="D16" s="27" t="s">
        <v>61</v>
      </c>
      <c r="E16" s="28">
        <v>37.0</v>
      </c>
      <c r="F16" s="28">
        <v>0.0</v>
      </c>
      <c r="G16" s="28">
        <v>37.0</v>
      </c>
      <c r="H16" s="29"/>
      <c r="I16" s="29"/>
      <c r="J16" s="29"/>
      <c r="K16" s="29"/>
      <c r="L16" s="29"/>
      <c r="M16" s="29"/>
      <c r="N16" s="28">
        <v>37.0</v>
      </c>
      <c r="O16" s="29"/>
      <c r="P16" s="29"/>
      <c r="Q16" s="29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22">
        <v>37.0</v>
      </c>
      <c r="AF16" s="31">
        <v>0.0</v>
      </c>
      <c r="AG16" s="22" t="s">
        <v>36</v>
      </c>
      <c r="AH16" s="32">
        <v>5595860.0</v>
      </c>
      <c r="AI16" s="32">
        <v>2.0704682E8</v>
      </c>
      <c r="AJ16" s="33" t="str">
        <f t="shared" si="1"/>
        <v>&lt;30 hari</v>
      </c>
      <c r="AK16" s="35">
        <v>37.0</v>
      </c>
      <c r="AL16" s="36"/>
      <c r="AM16" s="36"/>
      <c r="AN16" s="36"/>
      <c r="AO16" s="36"/>
      <c r="AP16" s="36"/>
    </row>
    <row r="17">
      <c r="A17" s="26">
        <v>34.0</v>
      </c>
      <c r="B17" s="27" t="s">
        <v>62</v>
      </c>
      <c r="C17" s="27" t="s">
        <v>63</v>
      </c>
      <c r="D17" s="27" t="s">
        <v>64</v>
      </c>
      <c r="E17" s="28">
        <v>0.0</v>
      </c>
      <c r="F17" s="28">
        <v>12.0</v>
      </c>
      <c r="G17" s="28">
        <v>12.0</v>
      </c>
      <c r="H17" s="29"/>
      <c r="I17" s="29"/>
      <c r="J17" s="29"/>
      <c r="K17" s="29"/>
      <c r="L17" s="29"/>
      <c r="M17" s="29"/>
      <c r="N17" s="29"/>
      <c r="O17" s="28">
        <v>12.0</v>
      </c>
      <c r="P17" s="29"/>
      <c r="Q17" s="29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22">
        <v>12.0</v>
      </c>
      <c r="AF17" s="31">
        <v>0.0</v>
      </c>
      <c r="AG17" s="22" t="s">
        <v>36</v>
      </c>
      <c r="AH17" s="32" t="s">
        <v>65</v>
      </c>
      <c r="AI17" s="32">
        <v>9906948.0</v>
      </c>
      <c r="AJ17" s="33" t="str">
        <f t="shared" si="1"/>
        <v>&gt;1 tahun</v>
      </c>
      <c r="AK17" s="36"/>
      <c r="AL17" s="36"/>
      <c r="AM17" s="36"/>
      <c r="AN17" s="36"/>
      <c r="AO17" s="36"/>
      <c r="AP17" s="35">
        <v>12.0</v>
      </c>
    </row>
    <row r="18">
      <c r="A18" s="26">
        <v>35.0</v>
      </c>
      <c r="B18" s="27" t="s">
        <v>66</v>
      </c>
      <c r="C18" s="27" t="s">
        <v>67</v>
      </c>
      <c r="D18" s="27" t="s">
        <v>68</v>
      </c>
      <c r="E18" s="28">
        <v>0.0</v>
      </c>
      <c r="F18" s="28">
        <v>11.0</v>
      </c>
      <c r="G18" s="28">
        <v>11.0</v>
      </c>
      <c r="H18" s="29"/>
      <c r="I18" s="29"/>
      <c r="J18" s="29"/>
      <c r="K18" s="29"/>
      <c r="L18" s="29"/>
      <c r="M18" s="29"/>
      <c r="N18" s="28">
        <v>11.0</v>
      </c>
      <c r="O18" s="29"/>
      <c r="P18" s="29"/>
      <c r="Q18" s="29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22">
        <v>11.0</v>
      </c>
      <c r="AF18" s="31">
        <v>0.0</v>
      </c>
      <c r="AG18" s="22" t="s">
        <v>36</v>
      </c>
      <c r="AH18" s="32">
        <v>4600197.0</v>
      </c>
      <c r="AI18" s="32">
        <v>5.0602167E7</v>
      </c>
      <c r="AJ18" s="33" t="str">
        <f t="shared" si="1"/>
        <v>&gt;1 tahun</v>
      </c>
      <c r="AK18" s="36"/>
      <c r="AL18" s="36"/>
      <c r="AM18" s="36"/>
      <c r="AN18" s="36"/>
      <c r="AO18" s="36"/>
      <c r="AP18" s="35">
        <v>11.0</v>
      </c>
    </row>
    <row r="19">
      <c r="A19" s="26">
        <v>36.0</v>
      </c>
      <c r="B19" s="27" t="s">
        <v>69</v>
      </c>
      <c r="C19" s="27" t="s">
        <v>70</v>
      </c>
      <c r="D19" s="27" t="s">
        <v>71</v>
      </c>
      <c r="E19" s="28">
        <v>0.0</v>
      </c>
      <c r="F19" s="28">
        <v>2.0</v>
      </c>
      <c r="G19" s="28">
        <v>2.0</v>
      </c>
      <c r="H19" s="29"/>
      <c r="I19" s="29"/>
      <c r="J19" s="29"/>
      <c r="K19" s="29"/>
      <c r="L19" s="29"/>
      <c r="M19" s="29"/>
      <c r="N19" s="28">
        <v>2.0</v>
      </c>
      <c r="O19" s="29"/>
      <c r="P19" s="29"/>
      <c r="Q19" s="29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22">
        <v>2.0</v>
      </c>
      <c r="AF19" s="31">
        <v>0.0</v>
      </c>
      <c r="AG19" s="22" t="s">
        <v>36</v>
      </c>
      <c r="AH19" s="32">
        <v>1.3214803E7</v>
      </c>
      <c r="AI19" s="32">
        <v>2.6429606E7</v>
      </c>
      <c r="AJ19" s="33" t="str">
        <f t="shared" si="1"/>
        <v>&gt;1 tahun</v>
      </c>
      <c r="AK19" s="36"/>
      <c r="AL19" s="36"/>
      <c r="AM19" s="36"/>
      <c r="AN19" s="36"/>
      <c r="AO19" s="36"/>
      <c r="AP19" s="35">
        <v>2.0</v>
      </c>
    </row>
    <row r="20">
      <c r="A20" s="26">
        <v>38.0</v>
      </c>
      <c r="B20" s="27" t="s">
        <v>72</v>
      </c>
      <c r="C20" s="27" t="s">
        <v>73</v>
      </c>
      <c r="D20" s="27" t="s">
        <v>74</v>
      </c>
      <c r="E20" s="28">
        <v>120.0</v>
      </c>
      <c r="F20" s="28">
        <v>390.0</v>
      </c>
      <c r="G20" s="28">
        <v>510.0</v>
      </c>
      <c r="H20" s="28">
        <v>26.0</v>
      </c>
      <c r="I20" s="29"/>
      <c r="J20" s="29"/>
      <c r="K20" s="28">
        <v>36.0</v>
      </c>
      <c r="L20" s="28">
        <v>134.0</v>
      </c>
      <c r="M20" s="28">
        <v>90.0</v>
      </c>
      <c r="N20" s="29"/>
      <c r="O20" s="28">
        <v>206.0</v>
      </c>
      <c r="P20" s="28">
        <v>18.0</v>
      </c>
      <c r="Q20" s="29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22">
        <v>510.0</v>
      </c>
      <c r="AF20" s="31">
        <v>0.0</v>
      </c>
      <c r="AG20" s="22" t="s">
        <v>36</v>
      </c>
      <c r="AH20" s="32">
        <v>1.12370242E8</v>
      </c>
      <c r="AI20" s="32">
        <v>5.730882342E10</v>
      </c>
      <c r="AJ20" s="33" t="str">
        <f t="shared" si="1"/>
        <v>&lt;30 hari; 30-60 hari; 60-90 hari; 90-180 hari</v>
      </c>
      <c r="AK20" s="35">
        <v>159.0</v>
      </c>
      <c r="AL20" s="35">
        <v>174.0</v>
      </c>
      <c r="AM20" s="35">
        <v>123.0</v>
      </c>
      <c r="AN20" s="35">
        <v>54.0</v>
      </c>
      <c r="AO20" s="36"/>
      <c r="AP20" s="36"/>
    </row>
    <row r="21">
      <c r="A21" s="37">
        <v>39.0</v>
      </c>
      <c r="B21" s="27" t="s">
        <v>75</v>
      </c>
      <c r="C21" s="27" t="s">
        <v>76</v>
      </c>
      <c r="D21" s="27" t="s">
        <v>77</v>
      </c>
      <c r="E21" s="28">
        <v>227.0</v>
      </c>
      <c r="F21" s="28">
        <v>0.0</v>
      </c>
      <c r="G21" s="28">
        <v>227.0</v>
      </c>
      <c r="H21" s="29"/>
      <c r="I21" s="28">
        <v>5.0</v>
      </c>
      <c r="J21" s="29"/>
      <c r="K21" s="29"/>
      <c r="L21" s="29"/>
      <c r="M21" s="29"/>
      <c r="N21" s="29"/>
      <c r="O21" s="29"/>
      <c r="P21" s="28">
        <v>116.0</v>
      </c>
      <c r="Q21" s="28">
        <v>106.0</v>
      </c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22">
        <v>227.0</v>
      </c>
      <c r="AF21" s="31">
        <v>0.0</v>
      </c>
      <c r="AG21" s="22" t="s">
        <v>36</v>
      </c>
      <c r="AH21" s="32">
        <v>1.17066384E8</v>
      </c>
      <c r="AI21" s="32">
        <v>2.6574069168E10</v>
      </c>
      <c r="AJ21" s="33" t="str">
        <f t="shared" si="1"/>
        <v>&lt;30 hari; 30-60 hari; 60-90 hari; 90-180 hari</v>
      </c>
      <c r="AK21" s="35">
        <v>70.0</v>
      </c>
      <c r="AL21" s="35">
        <v>57.0</v>
      </c>
      <c r="AM21" s="35">
        <v>53.0</v>
      </c>
      <c r="AN21" s="35">
        <v>47.0</v>
      </c>
      <c r="AO21" s="36"/>
      <c r="AP21" s="36"/>
    </row>
    <row r="22">
      <c r="A22" s="38">
        <f t="shared" ref="A22:A80" si="2">A21+1</f>
        <v>40</v>
      </c>
      <c r="B22" s="39" t="s">
        <v>78</v>
      </c>
      <c r="C22" s="39" t="s">
        <v>79</v>
      </c>
      <c r="D22" s="39" t="s">
        <v>80</v>
      </c>
      <c r="E22" s="28">
        <v>4.0</v>
      </c>
      <c r="F22" s="28">
        <v>0.0</v>
      </c>
      <c r="G22" s="28">
        <v>4.0</v>
      </c>
      <c r="H22" s="40"/>
      <c r="I22" s="30"/>
      <c r="J22" s="30"/>
      <c r="K22" s="30"/>
      <c r="L22" s="30"/>
      <c r="M22" s="30"/>
      <c r="N22" s="30"/>
      <c r="O22" s="30"/>
      <c r="P22" s="30"/>
      <c r="Q22" s="30"/>
      <c r="R22" s="29"/>
      <c r="S22" s="29"/>
      <c r="T22" s="29"/>
      <c r="U22" s="29"/>
      <c r="V22" s="29"/>
      <c r="W22" s="28">
        <v>4.0</v>
      </c>
      <c r="X22" s="29"/>
      <c r="Y22" s="29"/>
      <c r="Z22" s="29"/>
      <c r="AA22" s="29"/>
      <c r="AB22" s="29"/>
      <c r="AC22" s="30"/>
      <c r="AD22" s="30"/>
      <c r="AE22" s="22">
        <v>4.0</v>
      </c>
      <c r="AF22" s="31">
        <v>0.0</v>
      </c>
      <c r="AG22" s="22" t="s">
        <v>36</v>
      </c>
      <c r="AH22" s="41">
        <v>905928.0</v>
      </c>
      <c r="AI22" s="41">
        <v>3623712.0</v>
      </c>
      <c r="AJ22" s="33" t="str">
        <f t="shared" si="1"/>
        <v>&gt;1 tahun</v>
      </c>
      <c r="AK22" s="36"/>
      <c r="AL22" s="36"/>
      <c r="AM22" s="36"/>
      <c r="AN22" s="36"/>
      <c r="AO22" s="36"/>
      <c r="AP22" s="42">
        <v>4.0</v>
      </c>
    </row>
    <row r="23">
      <c r="A23" s="38">
        <f t="shared" si="2"/>
        <v>41</v>
      </c>
      <c r="B23" s="39" t="s">
        <v>78</v>
      </c>
      <c r="C23" s="39" t="s">
        <v>79</v>
      </c>
      <c r="D23" s="39" t="s">
        <v>81</v>
      </c>
      <c r="E23" s="28">
        <v>8.0</v>
      </c>
      <c r="F23" s="28">
        <v>0.0</v>
      </c>
      <c r="G23" s="28">
        <v>8.0</v>
      </c>
      <c r="H23" s="30"/>
      <c r="I23" s="30"/>
      <c r="J23" s="30"/>
      <c r="K23" s="30"/>
      <c r="L23" s="30"/>
      <c r="M23" s="30"/>
      <c r="N23" s="30"/>
      <c r="O23" s="30"/>
      <c r="P23" s="30"/>
      <c r="Q23" s="40">
        <v>5.0</v>
      </c>
      <c r="R23" s="29"/>
      <c r="S23" s="29"/>
      <c r="T23" s="29"/>
      <c r="U23" s="29"/>
      <c r="V23" s="29"/>
      <c r="W23" s="28">
        <v>8.0</v>
      </c>
      <c r="X23" s="29"/>
      <c r="Y23" s="29"/>
      <c r="Z23" s="29"/>
      <c r="AA23" s="29"/>
      <c r="AB23" s="29"/>
      <c r="AC23" s="30"/>
      <c r="AD23" s="30"/>
      <c r="AE23" s="22">
        <v>8.0</v>
      </c>
      <c r="AF23" s="31">
        <v>0.0</v>
      </c>
      <c r="AG23" s="22" t="s">
        <v>36</v>
      </c>
      <c r="AH23" s="41">
        <v>917367.0</v>
      </c>
      <c r="AI23" s="41">
        <v>7338936.0</v>
      </c>
      <c r="AJ23" s="33" t="str">
        <f t="shared" si="1"/>
        <v>&gt;1 tahun</v>
      </c>
      <c r="AK23" s="36"/>
      <c r="AL23" s="36"/>
      <c r="AM23" s="36"/>
      <c r="AN23" s="36"/>
      <c r="AO23" s="36"/>
      <c r="AP23" s="43">
        <v>8.0</v>
      </c>
    </row>
    <row r="24">
      <c r="A24" s="38">
        <f t="shared" si="2"/>
        <v>42</v>
      </c>
      <c r="B24" s="39" t="s">
        <v>78</v>
      </c>
      <c r="C24" s="39" t="s">
        <v>79</v>
      </c>
      <c r="D24" s="39" t="s">
        <v>82</v>
      </c>
      <c r="E24" s="28">
        <v>11.0</v>
      </c>
      <c r="F24" s="28">
        <v>0.0</v>
      </c>
      <c r="G24" s="28">
        <v>11.0</v>
      </c>
      <c r="H24" s="30"/>
      <c r="I24" s="30"/>
      <c r="J24" s="30"/>
      <c r="K24" s="30"/>
      <c r="L24" s="30"/>
      <c r="M24" s="30"/>
      <c r="N24" s="30"/>
      <c r="O24" s="30"/>
      <c r="P24" s="30"/>
      <c r="Q24" s="40">
        <v>11.0</v>
      </c>
      <c r="R24" s="29"/>
      <c r="S24" s="29"/>
      <c r="T24" s="29"/>
      <c r="U24" s="29"/>
      <c r="V24" s="29"/>
      <c r="W24" s="28">
        <v>11.0</v>
      </c>
      <c r="X24" s="29"/>
      <c r="Y24" s="29"/>
      <c r="Z24" s="29"/>
      <c r="AA24" s="29"/>
      <c r="AB24" s="29"/>
      <c r="AC24" s="30"/>
      <c r="AD24" s="30"/>
      <c r="AE24" s="22">
        <v>11.0</v>
      </c>
      <c r="AF24" s="31">
        <v>0.0</v>
      </c>
      <c r="AG24" s="22" t="s">
        <v>36</v>
      </c>
      <c r="AH24" s="41">
        <v>1135092.0</v>
      </c>
      <c r="AI24" s="41">
        <v>1.2486012E7</v>
      </c>
      <c r="AJ24" s="33" t="str">
        <f t="shared" si="1"/>
        <v>&gt;1 tahun</v>
      </c>
      <c r="AK24" s="36"/>
      <c r="AL24" s="36"/>
      <c r="AM24" s="36"/>
      <c r="AN24" s="36"/>
      <c r="AO24" s="36"/>
      <c r="AP24" s="43">
        <v>11.0</v>
      </c>
    </row>
    <row r="25">
      <c r="A25" s="38">
        <f t="shared" si="2"/>
        <v>43</v>
      </c>
      <c r="B25" s="39" t="s">
        <v>83</v>
      </c>
      <c r="C25" s="39" t="s">
        <v>84</v>
      </c>
      <c r="D25" s="39" t="s">
        <v>85</v>
      </c>
      <c r="E25" s="28">
        <v>12.0</v>
      </c>
      <c r="F25" s="28">
        <v>0.0</v>
      </c>
      <c r="G25" s="28">
        <v>12.0</v>
      </c>
      <c r="H25" s="30"/>
      <c r="I25" s="30"/>
      <c r="J25" s="30"/>
      <c r="K25" s="30"/>
      <c r="L25" s="30"/>
      <c r="M25" s="40"/>
      <c r="N25" s="30"/>
      <c r="O25" s="30"/>
      <c r="P25" s="30"/>
      <c r="Q25" s="30"/>
      <c r="R25" s="29"/>
      <c r="S25" s="29"/>
      <c r="T25" s="29"/>
      <c r="U25" s="29"/>
      <c r="V25" s="28">
        <v>12.0</v>
      </c>
      <c r="W25" s="29"/>
      <c r="X25" s="29"/>
      <c r="Y25" s="29"/>
      <c r="Z25" s="29"/>
      <c r="AA25" s="29"/>
      <c r="AB25" s="29"/>
      <c r="AC25" s="30"/>
      <c r="AD25" s="30"/>
      <c r="AE25" s="22">
        <v>12.0</v>
      </c>
      <c r="AF25" s="31">
        <v>0.0</v>
      </c>
      <c r="AG25" s="22" t="s">
        <v>36</v>
      </c>
      <c r="AH25" s="41">
        <v>1414445.0</v>
      </c>
      <c r="AI25" s="41">
        <v>1.697334E7</v>
      </c>
      <c r="AJ25" s="33" t="str">
        <f t="shared" si="1"/>
        <v>&gt;1 tahun</v>
      </c>
      <c r="AK25" s="36"/>
      <c r="AL25" s="36"/>
      <c r="AM25" s="36"/>
      <c r="AN25" s="36"/>
      <c r="AO25" s="36"/>
      <c r="AP25" s="43">
        <v>12.0</v>
      </c>
    </row>
    <row r="26">
      <c r="A26" s="38">
        <f t="shared" si="2"/>
        <v>44</v>
      </c>
      <c r="B26" s="39" t="s">
        <v>83</v>
      </c>
      <c r="C26" s="39" t="s">
        <v>84</v>
      </c>
      <c r="D26" s="39" t="s">
        <v>86</v>
      </c>
      <c r="E26" s="28">
        <v>10.0</v>
      </c>
      <c r="F26" s="28">
        <v>0.0</v>
      </c>
      <c r="G26" s="28">
        <v>10.0</v>
      </c>
      <c r="H26" s="30"/>
      <c r="I26" s="30"/>
      <c r="J26" s="30"/>
      <c r="K26" s="30"/>
      <c r="L26" s="30"/>
      <c r="M26" s="40"/>
      <c r="N26" s="30"/>
      <c r="O26" s="30"/>
      <c r="P26" s="30"/>
      <c r="Q26" s="30"/>
      <c r="R26" s="29"/>
      <c r="S26" s="29"/>
      <c r="T26" s="29"/>
      <c r="U26" s="29"/>
      <c r="V26" s="28">
        <v>10.0</v>
      </c>
      <c r="W26" s="29"/>
      <c r="X26" s="29"/>
      <c r="Y26" s="29"/>
      <c r="Z26" s="29"/>
      <c r="AA26" s="29"/>
      <c r="AB26" s="29"/>
      <c r="AC26" s="30"/>
      <c r="AD26" s="30"/>
      <c r="AE26" s="22">
        <v>10.0</v>
      </c>
      <c r="AF26" s="31">
        <v>0.0</v>
      </c>
      <c r="AG26" s="22" t="s">
        <v>36</v>
      </c>
      <c r="AH26" s="41">
        <v>1079048.0</v>
      </c>
      <c r="AI26" s="41">
        <v>1.079048E7</v>
      </c>
      <c r="AJ26" s="33" t="str">
        <f t="shared" si="1"/>
        <v>&gt;1 tahun</v>
      </c>
      <c r="AK26" s="36"/>
      <c r="AL26" s="36"/>
      <c r="AM26" s="36"/>
      <c r="AN26" s="36"/>
      <c r="AO26" s="36"/>
      <c r="AP26" s="43">
        <v>10.0</v>
      </c>
    </row>
    <row r="27">
      <c r="A27" s="38">
        <f t="shared" si="2"/>
        <v>45</v>
      </c>
      <c r="B27" s="39" t="s">
        <v>87</v>
      </c>
      <c r="C27" s="39" t="s">
        <v>88</v>
      </c>
      <c r="D27" s="39" t="s">
        <v>89</v>
      </c>
      <c r="E27" s="28">
        <v>42.0</v>
      </c>
      <c r="F27" s="28">
        <v>0.0</v>
      </c>
      <c r="G27" s="28">
        <v>42.0</v>
      </c>
      <c r="H27" s="30"/>
      <c r="I27" s="30"/>
      <c r="J27" s="30"/>
      <c r="K27" s="30"/>
      <c r="L27" s="30"/>
      <c r="M27" s="30"/>
      <c r="N27" s="30"/>
      <c r="O27" s="30"/>
      <c r="P27" s="30"/>
      <c r="Q27" s="40">
        <v>2.0</v>
      </c>
      <c r="R27" s="29"/>
      <c r="S27" s="28">
        <v>22.0</v>
      </c>
      <c r="T27" s="29"/>
      <c r="U27" s="29"/>
      <c r="V27" s="28">
        <v>20.0</v>
      </c>
      <c r="W27" s="29"/>
      <c r="X27" s="29"/>
      <c r="Y27" s="29"/>
      <c r="Z27" s="29"/>
      <c r="AA27" s="29"/>
      <c r="AB27" s="29"/>
      <c r="AC27" s="30"/>
      <c r="AD27" s="30"/>
      <c r="AE27" s="22">
        <v>42.0</v>
      </c>
      <c r="AF27" s="31">
        <v>0.0</v>
      </c>
      <c r="AG27" s="22" t="s">
        <v>36</v>
      </c>
      <c r="AH27" s="41">
        <v>2115269.0</v>
      </c>
      <c r="AI27" s="41">
        <v>8.8841298E7</v>
      </c>
      <c r="AJ27" s="33" t="str">
        <f t="shared" si="1"/>
        <v>&gt;1 tahun</v>
      </c>
      <c r="AK27" s="36"/>
      <c r="AL27" s="36"/>
      <c r="AM27" s="36"/>
      <c r="AN27" s="36"/>
      <c r="AO27" s="36"/>
      <c r="AP27" s="43">
        <v>42.0</v>
      </c>
    </row>
    <row r="28">
      <c r="A28" s="38">
        <f t="shared" si="2"/>
        <v>46</v>
      </c>
      <c r="B28" s="39" t="s">
        <v>87</v>
      </c>
      <c r="C28" s="39" t="s">
        <v>88</v>
      </c>
      <c r="D28" s="39" t="s">
        <v>90</v>
      </c>
      <c r="E28" s="28">
        <v>42.0</v>
      </c>
      <c r="F28" s="28">
        <v>0.0</v>
      </c>
      <c r="G28" s="28">
        <v>42.0</v>
      </c>
      <c r="H28" s="30"/>
      <c r="I28" s="30"/>
      <c r="J28" s="30"/>
      <c r="K28" s="30"/>
      <c r="L28" s="30"/>
      <c r="M28" s="30"/>
      <c r="N28" s="30"/>
      <c r="O28" s="30"/>
      <c r="P28" s="30"/>
      <c r="Q28" s="40">
        <v>2.0</v>
      </c>
      <c r="R28" s="29"/>
      <c r="S28" s="28">
        <v>42.0</v>
      </c>
      <c r="T28" s="29"/>
      <c r="U28" s="29"/>
      <c r="V28" s="29"/>
      <c r="W28" s="29"/>
      <c r="X28" s="29"/>
      <c r="Y28" s="29"/>
      <c r="Z28" s="29"/>
      <c r="AA28" s="29"/>
      <c r="AB28" s="29"/>
      <c r="AC28" s="30"/>
      <c r="AD28" s="30"/>
      <c r="AE28" s="22">
        <v>42.0</v>
      </c>
      <c r="AF28" s="31">
        <v>0.0</v>
      </c>
      <c r="AG28" s="22" t="s">
        <v>36</v>
      </c>
      <c r="AH28" s="41">
        <v>1955078.0</v>
      </c>
      <c r="AI28" s="41">
        <v>8.2113276E7</v>
      </c>
      <c r="AJ28" s="33" t="str">
        <f t="shared" si="1"/>
        <v>&gt;1 tahun</v>
      </c>
      <c r="AK28" s="36"/>
      <c r="AL28" s="36"/>
      <c r="AM28" s="36"/>
      <c r="AN28" s="36"/>
      <c r="AO28" s="36"/>
      <c r="AP28" s="43">
        <v>42.0</v>
      </c>
    </row>
    <row r="29">
      <c r="A29" s="38">
        <f t="shared" si="2"/>
        <v>47</v>
      </c>
      <c r="B29" s="39" t="s">
        <v>91</v>
      </c>
      <c r="C29" s="39" t="s">
        <v>92</v>
      </c>
      <c r="D29" s="39" t="s">
        <v>93</v>
      </c>
      <c r="E29" s="28">
        <v>148.0</v>
      </c>
      <c r="F29" s="28">
        <v>0.0</v>
      </c>
      <c r="G29" s="28">
        <v>148.0</v>
      </c>
      <c r="H29" s="30"/>
      <c r="I29" s="30"/>
      <c r="J29" s="30"/>
      <c r="K29" s="30"/>
      <c r="L29" s="30"/>
      <c r="M29" s="30"/>
      <c r="N29" s="30"/>
      <c r="O29" s="30"/>
      <c r="P29" s="30"/>
      <c r="Q29" s="40">
        <v>8.0</v>
      </c>
      <c r="R29" s="29"/>
      <c r="S29" s="29"/>
      <c r="T29" s="29"/>
      <c r="U29" s="29"/>
      <c r="V29" s="28">
        <v>148.0</v>
      </c>
      <c r="W29" s="29"/>
      <c r="X29" s="29"/>
      <c r="Y29" s="29"/>
      <c r="Z29" s="29"/>
      <c r="AA29" s="29"/>
      <c r="AB29" s="29"/>
      <c r="AC29" s="30"/>
      <c r="AD29" s="30"/>
      <c r="AE29" s="22">
        <v>148.0</v>
      </c>
      <c r="AF29" s="31">
        <v>0.0</v>
      </c>
      <c r="AG29" s="22" t="s">
        <v>36</v>
      </c>
      <c r="AH29" s="41">
        <v>1578958.0</v>
      </c>
      <c r="AI29" s="41">
        <v>2.33685838E8</v>
      </c>
      <c r="AJ29" s="33" t="str">
        <f t="shared" si="1"/>
        <v>&lt;30 hari; 30-60 hari</v>
      </c>
      <c r="AK29" s="35">
        <v>46.0</v>
      </c>
      <c r="AL29" s="35">
        <v>102.0</v>
      </c>
      <c r="AM29" s="36"/>
      <c r="AN29" s="36"/>
      <c r="AO29" s="36"/>
      <c r="AP29" s="44"/>
    </row>
    <row r="30">
      <c r="A30" s="38">
        <f t="shared" si="2"/>
        <v>48</v>
      </c>
      <c r="B30" s="39" t="s">
        <v>91</v>
      </c>
      <c r="C30" s="39" t="s">
        <v>92</v>
      </c>
      <c r="D30" s="39" t="s">
        <v>94</v>
      </c>
      <c r="E30" s="28">
        <v>355.0</v>
      </c>
      <c r="F30" s="28">
        <v>0.0</v>
      </c>
      <c r="G30" s="28">
        <v>355.0</v>
      </c>
      <c r="H30" s="30"/>
      <c r="I30" s="30"/>
      <c r="J30" s="30"/>
      <c r="K30" s="30"/>
      <c r="L30" s="30"/>
      <c r="M30" s="40"/>
      <c r="N30" s="30"/>
      <c r="O30" s="30"/>
      <c r="P30" s="30"/>
      <c r="Q30" s="30"/>
      <c r="R30" s="29"/>
      <c r="S30" s="29"/>
      <c r="T30" s="29"/>
      <c r="U30" s="29"/>
      <c r="V30" s="28">
        <v>156.0</v>
      </c>
      <c r="W30" s="29"/>
      <c r="X30" s="29"/>
      <c r="Y30" s="29"/>
      <c r="Z30" s="29"/>
      <c r="AA30" s="29"/>
      <c r="AB30" s="28">
        <v>199.0</v>
      </c>
      <c r="AC30" s="30"/>
      <c r="AD30" s="30"/>
      <c r="AE30" s="22">
        <v>355.0</v>
      </c>
      <c r="AF30" s="31">
        <v>0.0</v>
      </c>
      <c r="AG30" s="22" t="s">
        <v>36</v>
      </c>
      <c r="AH30" s="41">
        <v>1610415.0</v>
      </c>
      <c r="AI30" s="41">
        <v>5.71697408E8</v>
      </c>
      <c r="AJ30" s="33" t="str">
        <f t="shared" si="1"/>
        <v>&lt;30 hari; 30-60 hari</v>
      </c>
      <c r="AK30" s="35">
        <v>122.0</v>
      </c>
      <c r="AL30" s="35">
        <v>233.0</v>
      </c>
      <c r="AM30" s="36"/>
      <c r="AN30" s="36"/>
      <c r="AO30" s="36"/>
      <c r="AP30" s="44"/>
    </row>
    <row r="31">
      <c r="A31" s="38">
        <f t="shared" si="2"/>
        <v>49</v>
      </c>
      <c r="B31" s="39" t="s">
        <v>91</v>
      </c>
      <c r="C31" s="39" t="s">
        <v>95</v>
      </c>
      <c r="D31" s="39" t="s">
        <v>93</v>
      </c>
      <c r="E31" s="28">
        <v>53.0</v>
      </c>
      <c r="F31" s="28">
        <v>0.0</v>
      </c>
      <c r="G31" s="28">
        <v>53.0</v>
      </c>
      <c r="H31" s="30"/>
      <c r="I31" s="30"/>
      <c r="J31" s="30"/>
      <c r="K31" s="30"/>
      <c r="L31" s="30"/>
      <c r="M31" s="40"/>
      <c r="N31" s="30"/>
      <c r="O31" s="30"/>
      <c r="P31" s="30"/>
      <c r="Q31" s="30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8">
        <v>53.0</v>
      </c>
      <c r="AC31" s="30"/>
      <c r="AD31" s="30"/>
      <c r="AE31" s="22">
        <v>53.0</v>
      </c>
      <c r="AF31" s="31">
        <v>0.0</v>
      </c>
      <c r="AG31" s="22" t="s">
        <v>36</v>
      </c>
      <c r="AH31" s="41">
        <v>1578958.0</v>
      </c>
      <c r="AI31" s="41">
        <v>8.3684794E7</v>
      </c>
      <c r="AJ31" s="33" t="str">
        <f t="shared" si="1"/>
        <v>&lt;30 hari</v>
      </c>
      <c r="AK31" s="35">
        <v>53.0</v>
      </c>
      <c r="AL31" s="36"/>
      <c r="AM31" s="36"/>
      <c r="AN31" s="36"/>
      <c r="AO31" s="36"/>
      <c r="AP31" s="44"/>
    </row>
    <row r="32">
      <c r="A32" s="38">
        <f t="shared" si="2"/>
        <v>50</v>
      </c>
      <c r="B32" s="39" t="s">
        <v>91</v>
      </c>
      <c r="C32" s="39" t="s">
        <v>95</v>
      </c>
      <c r="D32" s="39" t="s">
        <v>96</v>
      </c>
      <c r="E32" s="28">
        <v>85.0</v>
      </c>
      <c r="F32" s="28">
        <v>0.0</v>
      </c>
      <c r="G32" s="28">
        <v>85.0</v>
      </c>
      <c r="H32" s="30"/>
      <c r="I32" s="30"/>
      <c r="J32" s="30"/>
      <c r="K32" s="30"/>
      <c r="L32" s="30"/>
      <c r="M32" s="30"/>
      <c r="N32" s="30"/>
      <c r="O32" s="30"/>
      <c r="P32" s="40"/>
      <c r="Q32" s="30"/>
      <c r="R32" s="29"/>
      <c r="S32" s="29"/>
      <c r="T32" s="29"/>
      <c r="U32" s="29"/>
      <c r="V32" s="28">
        <v>85.0</v>
      </c>
      <c r="W32" s="29"/>
      <c r="X32" s="29"/>
      <c r="Y32" s="29"/>
      <c r="Z32" s="29"/>
      <c r="AA32" s="29"/>
      <c r="AB32" s="29"/>
      <c r="AC32" s="30"/>
      <c r="AD32" s="30"/>
      <c r="AE32" s="22">
        <v>85.0</v>
      </c>
      <c r="AF32" s="31">
        <v>0.0</v>
      </c>
      <c r="AG32" s="22" t="s">
        <v>36</v>
      </c>
      <c r="AH32" s="41">
        <v>1982959.0</v>
      </c>
      <c r="AI32" s="41">
        <v>1.68551533E8</v>
      </c>
      <c r="AJ32" s="33" t="str">
        <f t="shared" si="1"/>
        <v>&lt;30 hari</v>
      </c>
      <c r="AK32" s="35">
        <v>85.0</v>
      </c>
      <c r="AL32" s="36"/>
      <c r="AM32" s="36"/>
      <c r="AN32" s="36"/>
      <c r="AO32" s="36"/>
      <c r="AP32" s="44"/>
    </row>
    <row r="33">
      <c r="A33" s="38">
        <f t="shared" si="2"/>
        <v>51</v>
      </c>
      <c r="B33" s="39" t="s">
        <v>97</v>
      </c>
      <c r="C33" s="39" t="s">
        <v>98</v>
      </c>
      <c r="D33" s="39" t="s">
        <v>99</v>
      </c>
      <c r="E33" s="28">
        <v>113.0</v>
      </c>
      <c r="F33" s="28">
        <v>0.0</v>
      </c>
      <c r="G33" s="28">
        <v>113.0</v>
      </c>
      <c r="H33" s="30"/>
      <c r="I33" s="30"/>
      <c r="J33" s="30"/>
      <c r="K33" s="30"/>
      <c r="L33" s="30"/>
      <c r="M33" s="30"/>
      <c r="N33" s="30"/>
      <c r="O33" s="30"/>
      <c r="P33" s="40"/>
      <c r="Q33" s="30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8">
        <v>113.0</v>
      </c>
      <c r="AC33" s="30"/>
      <c r="AD33" s="30"/>
      <c r="AE33" s="22">
        <v>113.0</v>
      </c>
      <c r="AF33" s="31">
        <v>0.0</v>
      </c>
      <c r="AG33" s="22" t="s">
        <v>36</v>
      </c>
      <c r="AH33" s="41">
        <v>3347620.0</v>
      </c>
      <c r="AI33" s="41">
        <v>3.78281069E8</v>
      </c>
      <c r="AJ33" s="33" t="str">
        <f t="shared" si="1"/>
        <v>&lt;30 hari; 30-60 hari</v>
      </c>
      <c r="AK33" s="35">
        <v>45.0</v>
      </c>
      <c r="AL33" s="35">
        <v>68.0</v>
      </c>
      <c r="AM33" s="36"/>
      <c r="AN33" s="36"/>
      <c r="AO33" s="36"/>
      <c r="AP33" s="44"/>
    </row>
    <row r="34">
      <c r="A34" s="38">
        <f t="shared" si="2"/>
        <v>52</v>
      </c>
      <c r="B34" s="39" t="s">
        <v>97</v>
      </c>
      <c r="C34" s="39" t="s">
        <v>98</v>
      </c>
      <c r="D34" s="39" t="s">
        <v>100</v>
      </c>
      <c r="E34" s="28">
        <v>113.0</v>
      </c>
      <c r="F34" s="28">
        <v>0.0</v>
      </c>
      <c r="G34" s="28">
        <v>113.0</v>
      </c>
      <c r="H34" s="30"/>
      <c r="I34" s="40"/>
      <c r="J34" s="30"/>
      <c r="K34" s="30"/>
      <c r="L34" s="30"/>
      <c r="M34" s="30"/>
      <c r="N34" s="30"/>
      <c r="O34" s="30"/>
      <c r="P34" s="40"/>
      <c r="Q34" s="30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8">
        <v>113.0</v>
      </c>
      <c r="AC34" s="30"/>
      <c r="AD34" s="30"/>
      <c r="AE34" s="22">
        <v>113.0</v>
      </c>
      <c r="AF34" s="31">
        <v>0.0</v>
      </c>
      <c r="AG34" s="22" t="s">
        <v>36</v>
      </c>
      <c r="AH34" s="41">
        <v>3374426.0</v>
      </c>
      <c r="AI34" s="41">
        <v>3.81310147E8</v>
      </c>
      <c r="AJ34" s="33" t="str">
        <f t="shared" si="1"/>
        <v>&lt;30 hari; 30-60 hari</v>
      </c>
      <c r="AK34" s="35">
        <v>46.0</v>
      </c>
      <c r="AL34" s="35">
        <v>67.0</v>
      </c>
      <c r="AM34" s="36"/>
      <c r="AN34" s="36"/>
      <c r="AO34" s="36"/>
      <c r="AP34" s="44"/>
    </row>
    <row r="35">
      <c r="A35" s="38">
        <f t="shared" si="2"/>
        <v>53</v>
      </c>
      <c r="B35" s="39" t="s">
        <v>101</v>
      </c>
      <c r="C35" s="39" t="s">
        <v>102</v>
      </c>
      <c r="D35" s="39" t="s">
        <v>103</v>
      </c>
      <c r="E35" s="28">
        <v>110.0</v>
      </c>
      <c r="F35" s="28">
        <v>0.0</v>
      </c>
      <c r="G35" s="28">
        <v>110.0</v>
      </c>
      <c r="H35" s="30"/>
      <c r="I35" s="30"/>
      <c r="J35" s="30"/>
      <c r="K35" s="30"/>
      <c r="L35" s="30"/>
      <c r="M35" s="30"/>
      <c r="N35" s="30"/>
      <c r="O35" s="30"/>
      <c r="P35" s="40"/>
      <c r="Q35" s="30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8">
        <v>110.0</v>
      </c>
      <c r="AC35" s="30"/>
      <c r="AD35" s="30"/>
      <c r="AE35" s="22">
        <v>110.0</v>
      </c>
      <c r="AF35" s="31">
        <v>0.0</v>
      </c>
      <c r="AG35" s="22" t="s">
        <v>104</v>
      </c>
      <c r="AH35" s="41">
        <v>2919273.0</v>
      </c>
      <c r="AI35" s="41">
        <v>3.2112003E8</v>
      </c>
      <c r="AJ35" s="33" t="str">
        <f t="shared" si="1"/>
        <v>&lt;30 hari</v>
      </c>
      <c r="AK35" s="35">
        <v>110.0</v>
      </c>
      <c r="AL35" s="36"/>
      <c r="AM35" s="36"/>
      <c r="AN35" s="36"/>
      <c r="AO35" s="36"/>
      <c r="AP35" s="44"/>
    </row>
    <row r="36">
      <c r="A36" s="38">
        <f t="shared" si="2"/>
        <v>54</v>
      </c>
      <c r="B36" s="39" t="s">
        <v>105</v>
      </c>
      <c r="C36" s="39" t="s">
        <v>106</v>
      </c>
      <c r="D36" s="39" t="s">
        <v>107</v>
      </c>
      <c r="E36" s="28">
        <v>17.0</v>
      </c>
      <c r="F36" s="28">
        <v>0.0</v>
      </c>
      <c r="G36" s="28">
        <v>17.0</v>
      </c>
      <c r="H36" s="30"/>
      <c r="I36" s="40"/>
      <c r="J36" s="30"/>
      <c r="K36" s="30"/>
      <c r="L36" s="30"/>
      <c r="M36" s="30"/>
      <c r="N36" s="30"/>
      <c r="O36" s="30"/>
      <c r="P36" s="40"/>
      <c r="Q36" s="30"/>
      <c r="R36" s="29"/>
      <c r="S36" s="29"/>
      <c r="T36" s="29"/>
      <c r="U36" s="29"/>
      <c r="V36" s="28">
        <v>17.0</v>
      </c>
      <c r="W36" s="29"/>
      <c r="X36" s="29"/>
      <c r="Y36" s="29"/>
      <c r="Z36" s="29"/>
      <c r="AA36" s="29"/>
      <c r="AB36" s="29"/>
      <c r="AC36" s="45"/>
      <c r="AD36" s="45"/>
      <c r="AE36" s="22">
        <v>17.0</v>
      </c>
      <c r="AF36" s="31">
        <v>0.0</v>
      </c>
      <c r="AG36" s="22" t="s">
        <v>36</v>
      </c>
      <c r="AH36" s="41">
        <v>7804638.0</v>
      </c>
      <c r="AI36" s="41">
        <v>1.32678846E8</v>
      </c>
      <c r="AJ36" s="33" t="str">
        <f t="shared" si="1"/>
        <v>&gt;1 tahun</v>
      </c>
      <c r="AK36" s="36"/>
      <c r="AL36" s="36"/>
      <c r="AM36" s="36"/>
      <c r="AN36" s="36"/>
      <c r="AO36" s="36"/>
      <c r="AP36" s="43">
        <v>17.0</v>
      </c>
    </row>
    <row r="37">
      <c r="A37" s="38">
        <f t="shared" si="2"/>
        <v>55</v>
      </c>
      <c r="B37" s="39" t="s">
        <v>105</v>
      </c>
      <c r="C37" s="39" t="s">
        <v>106</v>
      </c>
      <c r="D37" s="39" t="s">
        <v>108</v>
      </c>
      <c r="E37" s="28">
        <v>27.0</v>
      </c>
      <c r="F37" s="28">
        <v>0.0</v>
      </c>
      <c r="G37" s="28">
        <v>27.0</v>
      </c>
      <c r="H37" s="30"/>
      <c r="I37" s="40"/>
      <c r="J37" s="30"/>
      <c r="K37" s="30"/>
      <c r="L37" s="30"/>
      <c r="M37" s="30"/>
      <c r="N37" s="30"/>
      <c r="O37" s="30"/>
      <c r="P37" s="40"/>
      <c r="Q37" s="30"/>
      <c r="R37" s="29"/>
      <c r="S37" s="29"/>
      <c r="T37" s="29"/>
      <c r="U37" s="29"/>
      <c r="V37" s="28">
        <v>16.0</v>
      </c>
      <c r="W37" s="28">
        <v>11.0</v>
      </c>
      <c r="X37" s="29"/>
      <c r="Y37" s="29"/>
      <c r="Z37" s="29"/>
      <c r="AA37" s="29"/>
      <c r="AB37" s="29"/>
      <c r="AC37" s="30"/>
      <c r="AD37" s="30"/>
      <c r="AE37" s="22">
        <v>27.0</v>
      </c>
      <c r="AF37" s="31">
        <v>0.0</v>
      </c>
      <c r="AG37" s="22" t="s">
        <v>36</v>
      </c>
      <c r="AH37" s="41">
        <v>8907988.0</v>
      </c>
      <c r="AI37" s="41">
        <v>2.40515676E8</v>
      </c>
      <c r="AJ37" s="33" t="str">
        <f t="shared" si="1"/>
        <v>&gt;1 tahun</v>
      </c>
      <c r="AK37" s="36"/>
      <c r="AL37" s="36"/>
      <c r="AM37" s="36"/>
      <c r="AN37" s="36"/>
      <c r="AO37" s="36"/>
      <c r="AP37" s="43">
        <v>27.0</v>
      </c>
    </row>
    <row r="38">
      <c r="A38" s="38">
        <f t="shared" si="2"/>
        <v>56</v>
      </c>
      <c r="B38" s="39" t="s">
        <v>109</v>
      </c>
      <c r="C38" s="39" t="s">
        <v>110</v>
      </c>
      <c r="D38" s="39" t="s">
        <v>111</v>
      </c>
      <c r="E38" s="28">
        <v>1.0</v>
      </c>
      <c r="F38" s="28">
        <v>0.0</v>
      </c>
      <c r="G38" s="28">
        <v>1.0</v>
      </c>
      <c r="H38" s="30"/>
      <c r="I38" s="30"/>
      <c r="J38" s="30"/>
      <c r="K38" s="40"/>
      <c r="L38" s="30"/>
      <c r="M38" s="30"/>
      <c r="N38" s="30"/>
      <c r="O38" s="30"/>
      <c r="P38" s="40"/>
      <c r="Q38" s="30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8">
        <v>1.0</v>
      </c>
      <c r="AC38" s="30"/>
      <c r="AD38" s="30"/>
      <c r="AE38" s="22">
        <v>1.0</v>
      </c>
      <c r="AF38" s="31">
        <v>0.0</v>
      </c>
      <c r="AG38" s="22" t="s">
        <v>36</v>
      </c>
      <c r="AH38" s="41">
        <v>5475147.0</v>
      </c>
      <c r="AI38" s="41">
        <v>5475147.0</v>
      </c>
      <c r="AJ38" s="33" t="str">
        <f t="shared" si="1"/>
        <v>&gt;1 tahun</v>
      </c>
      <c r="AK38" s="36"/>
      <c r="AL38" s="36"/>
      <c r="AM38" s="36"/>
      <c r="AN38" s="36"/>
      <c r="AO38" s="36"/>
      <c r="AP38" s="43">
        <v>1.0</v>
      </c>
    </row>
    <row r="39">
      <c r="A39" s="38">
        <f t="shared" si="2"/>
        <v>57</v>
      </c>
      <c r="B39" s="39" t="s">
        <v>112</v>
      </c>
      <c r="C39" s="39" t="s">
        <v>113</v>
      </c>
      <c r="D39" s="39" t="s">
        <v>114</v>
      </c>
      <c r="E39" s="28">
        <v>36.0</v>
      </c>
      <c r="F39" s="28">
        <v>0.0</v>
      </c>
      <c r="G39" s="28">
        <v>36.0</v>
      </c>
      <c r="H39" s="30"/>
      <c r="I39" s="30"/>
      <c r="J39" s="30"/>
      <c r="K39" s="40"/>
      <c r="L39" s="30"/>
      <c r="M39" s="30"/>
      <c r="N39" s="30"/>
      <c r="O39" s="30"/>
      <c r="P39" s="30"/>
      <c r="Q39" s="30"/>
      <c r="R39" s="29"/>
      <c r="S39" s="29"/>
      <c r="T39" s="29"/>
      <c r="U39" s="29"/>
      <c r="V39" s="29"/>
      <c r="W39" s="29"/>
      <c r="X39" s="29"/>
      <c r="Y39" s="29"/>
      <c r="Z39" s="29"/>
      <c r="AA39" s="28">
        <v>36.0</v>
      </c>
      <c r="AB39" s="29"/>
      <c r="AC39" s="30"/>
      <c r="AD39" s="30"/>
      <c r="AE39" s="22">
        <v>36.0</v>
      </c>
      <c r="AF39" s="31">
        <v>0.0</v>
      </c>
      <c r="AG39" s="22" t="s">
        <v>36</v>
      </c>
      <c r="AH39" s="41">
        <v>9794335.0</v>
      </c>
      <c r="AI39" s="41">
        <v>3.5259606E8</v>
      </c>
      <c r="AJ39" s="33" t="str">
        <f t="shared" si="1"/>
        <v>60-90 hari</v>
      </c>
      <c r="AK39" s="36"/>
      <c r="AL39" s="36"/>
      <c r="AM39" s="35">
        <v>36.0</v>
      </c>
      <c r="AN39" s="36"/>
      <c r="AO39" s="36"/>
      <c r="AP39" s="44"/>
    </row>
    <row r="40">
      <c r="A40" s="38">
        <f t="shared" si="2"/>
        <v>58</v>
      </c>
      <c r="B40" s="39" t="s">
        <v>115</v>
      </c>
      <c r="C40" s="39" t="s">
        <v>116</v>
      </c>
      <c r="D40" s="39" t="s">
        <v>117</v>
      </c>
      <c r="E40" s="28">
        <v>4.0</v>
      </c>
      <c r="F40" s="28">
        <v>0.0</v>
      </c>
      <c r="G40" s="28">
        <v>4.0</v>
      </c>
      <c r="H40" s="30"/>
      <c r="I40" s="30"/>
      <c r="J40" s="30"/>
      <c r="K40" s="40"/>
      <c r="L40" s="30"/>
      <c r="M40" s="40"/>
      <c r="N40" s="30"/>
      <c r="O40" s="30"/>
      <c r="P40" s="40"/>
      <c r="Q40" s="30"/>
      <c r="R40" s="29"/>
      <c r="S40" s="29"/>
      <c r="T40" s="29"/>
      <c r="U40" s="29"/>
      <c r="V40" s="29"/>
      <c r="W40" s="28">
        <v>4.0</v>
      </c>
      <c r="X40" s="29"/>
      <c r="Y40" s="29"/>
      <c r="Z40" s="29"/>
      <c r="AA40" s="29"/>
      <c r="AB40" s="29"/>
      <c r="AC40" s="30"/>
      <c r="AD40" s="30"/>
      <c r="AE40" s="22">
        <v>4.0</v>
      </c>
      <c r="AF40" s="31">
        <v>0.0</v>
      </c>
      <c r="AG40" s="22" t="s">
        <v>36</v>
      </c>
      <c r="AH40" s="41">
        <v>1.1003407E7</v>
      </c>
      <c r="AI40" s="41">
        <v>4.4013628E7</v>
      </c>
      <c r="AJ40" s="33" t="str">
        <f t="shared" si="1"/>
        <v>&gt;1 tahun</v>
      </c>
      <c r="AK40" s="36"/>
      <c r="AL40" s="36"/>
      <c r="AM40" s="36"/>
      <c r="AN40" s="36"/>
      <c r="AO40" s="36"/>
      <c r="AP40" s="43">
        <v>4.0</v>
      </c>
    </row>
    <row r="41">
      <c r="A41" s="38">
        <f t="shared" si="2"/>
        <v>59</v>
      </c>
      <c r="B41" s="39" t="s">
        <v>115</v>
      </c>
      <c r="C41" s="39" t="s">
        <v>116</v>
      </c>
      <c r="D41" s="39" t="s">
        <v>118</v>
      </c>
      <c r="E41" s="28">
        <v>14.0</v>
      </c>
      <c r="F41" s="28">
        <v>0.0</v>
      </c>
      <c r="G41" s="28">
        <v>14.0</v>
      </c>
      <c r="H41" s="40"/>
      <c r="I41" s="40"/>
      <c r="J41" s="40"/>
      <c r="K41" s="40"/>
      <c r="L41" s="30"/>
      <c r="M41" s="30"/>
      <c r="N41" s="30"/>
      <c r="O41" s="30"/>
      <c r="P41" s="30"/>
      <c r="Q41" s="30"/>
      <c r="R41" s="29"/>
      <c r="S41" s="28">
        <v>14.0</v>
      </c>
      <c r="T41" s="29"/>
      <c r="U41" s="29"/>
      <c r="V41" s="29"/>
      <c r="W41" s="29"/>
      <c r="X41" s="29"/>
      <c r="Y41" s="29"/>
      <c r="Z41" s="29"/>
      <c r="AA41" s="29"/>
      <c r="AB41" s="29"/>
      <c r="AC41" s="30"/>
      <c r="AD41" s="30"/>
      <c r="AE41" s="22">
        <v>14.0</v>
      </c>
      <c r="AF41" s="31">
        <v>0.0</v>
      </c>
      <c r="AG41" s="22" t="s">
        <v>36</v>
      </c>
      <c r="AH41" s="41">
        <v>1.2481812E7</v>
      </c>
      <c r="AI41" s="41">
        <v>1.74745368E8</v>
      </c>
      <c r="AJ41" s="33" t="str">
        <f t="shared" si="1"/>
        <v>&gt;1 tahun</v>
      </c>
      <c r="AK41" s="36"/>
      <c r="AL41" s="36"/>
      <c r="AM41" s="36"/>
      <c r="AN41" s="36"/>
      <c r="AO41" s="36"/>
      <c r="AP41" s="43">
        <v>14.0</v>
      </c>
    </row>
    <row r="42">
      <c r="A42" s="38">
        <f t="shared" si="2"/>
        <v>60</v>
      </c>
      <c r="B42" s="39" t="s">
        <v>119</v>
      </c>
      <c r="C42" s="39" t="s">
        <v>120</v>
      </c>
      <c r="D42" s="39" t="s">
        <v>121</v>
      </c>
      <c r="E42" s="28">
        <v>55.0</v>
      </c>
      <c r="F42" s="28">
        <v>0.0</v>
      </c>
      <c r="G42" s="28">
        <v>55.0</v>
      </c>
      <c r="H42" s="40"/>
      <c r="I42" s="40"/>
      <c r="J42" s="30"/>
      <c r="K42" s="30"/>
      <c r="L42" s="30"/>
      <c r="M42" s="30"/>
      <c r="N42" s="30"/>
      <c r="O42" s="30"/>
      <c r="P42" s="30"/>
      <c r="Q42" s="30"/>
      <c r="R42" s="29"/>
      <c r="S42" s="28">
        <v>20.0</v>
      </c>
      <c r="T42" s="29"/>
      <c r="U42" s="29"/>
      <c r="V42" s="29"/>
      <c r="W42" s="29"/>
      <c r="X42" s="29"/>
      <c r="Y42" s="29"/>
      <c r="Z42" s="28">
        <v>35.0</v>
      </c>
      <c r="AA42" s="29"/>
      <c r="AB42" s="29"/>
      <c r="AC42" s="45"/>
      <c r="AD42" s="45"/>
      <c r="AE42" s="22">
        <v>55.0</v>
      </c>
      <c r="AF42" s="31">
        <v>0.0</v>
      </c>
      <c r="AG42" s="22" t="s">
        <v>36</v>
      </c>
      <c r="AH42" s="41">
        <v>1.3494495E7</v>
      </c>
      <c r="AI42" s="41">
        <v>7.42197225E8</v>
      </c>
      <c r="AJ42" s="33" t="str">
        <f t="shared" si="1"/>
        <v>&gt;1 tahun</v>
      </c>
      <c r="AK42" s="36"/>
      <c r="AL42" s="36"/>
      <c r="AM42" s="36"/>
      <c r="AN42" s="36"/>
      <c r="AO42" s="36"/>
      <c r="AP42" s="43">
        <v>55.0</v>
      </c>
    </row>
    <row r="43">
      <c r="A43" s="38">
        <f t="shared" si="2"/>
        <v>61</v>
      </c>
      <c r="B43" s="39" t="s">
        <v>122</v>
      </c>
      <c r="C43" s="39" t="s">
        <v>123</v>
      </c>
      <c r="D43" s="39" t="s">
        <v>124</v>
      </c>
      <c r="E43" s="28">
        <v>1.0</v>
      </c>
      <c r="F43" s="28">
        <v>0.0</v>
      </c>
      <c r="G43" s="28">
        <v>1.0</v>
      </c>
      <c r="H43" s="40"/>
      <c r="I43" s="40"/>
      <c r="J43" s="30"/>
      <c r="K43" s="30"/>
      <c r="L43" s="30"/>
      <c r="M43" s="30"/>
      <c r="N43" s="30"/>
      <c r="O43" s="30"/>
      <c r="P43" s="30"/>
      <c r="Q43" s="30"/>
      <c r="R43" s="29"/>
      <c r="S43" s="29"/>
      <c r="T43" s="29"/>
      <c r="U43" s="28">
        <v>1.0</v>
      </c>
      <c r="V43" s="29"/>
      <c r="W43" s="29"/>
      <c r="X43" s="29"/>
      <c r="Y43" s="29"/>
      <c r="Z43" s="29"/>
      <c r="AA43" s="29"/>
      <c r="AB43" s="29"/>
      <c r="AC43" s="45"/>
      <c r="AD43" s="45"/>
      <c r="AE43" s="22">
        <v>1.0</v>
      </c>
      <c r="AF43" s="31">
        <v>0.0</v>
      </c>
      <c r="AG43" s="22" t="s">
        <v>36</v>
      </c>
      <c r="AH43" s="41">
        <v>5529470.0</v>
      </c>
      <c r="AI43" s="41">
        <v>5529470.0</v>
      </c>
      <c r="AJ43" s="33" t="str">
        <f t="shared" si="1"/>
        <v>&gt;1 tahun</v>
      </c>
      <c r="AK43" s="36"/>
      <c r="AL43" s="36"/>
      <c r="AM43" s="36"/>
      <c r="AN43" s="36"/>
      <c r="AO43" s="36"/>
      <c r="AP43" s="43">
        <v>1.0</v>
      </c>
    </row>
    <row r="44">
      <c r="A44" s="38">
        <f t="shared" si="2"/>
        <v>62</v>
      </c>
      <c r="B44" s="39" t="s">
        <v>122</v>
      </c>
      <c r="C44" s="39" t="s">
        <v>123</v>
      </c>
      <c r="D44" s="39" t="s">
        <v>125</v>
      </c>
      <c r="E44" s="28">
        <v>1.0</v>
      </c>
      <c r="F44" s="28">
        <v>0.0</v>
      </c>
      <c r="G44" s="28">
        <v>1.0</v>
      </c>
      <c r="H44" s="30"/>
      <c r="I44" s="30"/>
      <c r="J44" s="40"/>
      <c r="K44" s="30"/>
      <c r="L44" s="30"/>
      <c r="M44" s="30"/>
      <c r="N44" s="30"/>
      <c r="O44" s="30"/>
      <c r="P44" s="30"/>
      <c r="Q44" s="30"/>
      <c r="R44" s="29"/>
      <c r="S44" s="29"/>
      <c r="T44" s="29"/>
      <c r="U44" s="28">
        <v>1.0</v>
      </c>
      <c r="V44" s="29"/>
      <c r="W44" s="29"/>
      <c r="X44" s="29"/>
      <c r="Y44" s="29"/>
      <c r="Z44" s="29"/>
      <c r="AA44" s="29"/>
      <c r="AB44" s="29"/>
      <c r="AC44" s="30"/>
      <c r="AD44" s="30"/>
      <c r="AE44" s="22">
        <v>1.0</v>
      </c>
      <c r="AF44" s="31">
        <v>0.0</v>
      </c>
      <c r="AG44" s="22" t="s">
        <v>36</v>
      </c>
      <c r="AH44" s="41">
        <v>6555138.0</v>
      </c>
      <c r="AI44" s="41">
        <v>6555138.0</v>
      </c>
      <c r="AJ44" s="33" t="str">
        <f t="shared" si="1"/>
        <v>&gt;1 tahun</v>
      </c>
      <c r="AK44" s="36"/>
      <c r="AL44" s="36"/>
      <c r="AM44" s="36"/>
      <c r="AN44" s="36"/>
      <c r="AO44" s="36"/>
      <c r="AP44" s="43">
        <v>1.0</v>
      </c>
    </row>
    <row r="45">
      <c r="A45" s="38">
        <f t="shared" si="2"/>
        <v>63</v>
      </c>
      <c r="B45" s="39" t="s">
        <v>126</v>
      </c>
      <c r="C45" s="39" t="s">
        <v>127</v>
      </c>
      <c r="D45" s="39" t="s">
        <v>128</v>
      </c>
      <c r="E45" s="28">
        <v>110.0</v>
      </c>
      <c r="F45" s="28">
        <v>0.0</v>
      </c>
      <c r="G45" s="28">
        <v>110.0</v>
      </c>
      <c r="H45" s="30"/>
      <c r="I45" s="30"/>
      <c r="J45" s="40"/>
      <c r="K45" s="40"/>
      <c r="L45" s="30"/>
      <c r="M45" s="30"/>
      <c r="N45" s="30"/>
      <c r="O45" s="30"/>
      <c r="P45" s="30"/>
      <c r="Q45" s="30"/>
      <c r="R45" s="29"/>
      <c r="S45" s="29"/>
      <c r="T45" s="29"/>
      <c r="U45" s="29"/>
      <c r="V45" s="28">
        <v>86.0</v>
      </c>
      <c r="W45" s="29"/>
      <c r="X45" s="29"/>
      <c r="Y45" s="29"/>
      <c r="Z45" s="29"/>
      <c r="AA45" s="29"/>
      <c r="AB45" s="28">
        <v>24.0</v>
      </c>
      <c r="AC45" s="30"/>
      <c r="AD45" s="30"/>
      <c r="AE45" s="22">
        <v>110.0</v>
      </c>
      <c r="AF45" s="31">
        <v>0.0</v>
      </c>
      <c r="AG45" s="22" t="s">
        <v>129</v>
      </c>
      <c r="AH45" s="41">
        <v>9454442.0</v>
      </c>
      <c r="AI45" s="41">
        <v>1.03998862E9</v>
      </c>
      <c r="AJ45" s="33" t="str">
        <f t="shared" si="1"/>
        <v>&gt;1 tahun</v>
      </c>
      <c r="AK45" s="36"/>
      <c r="AL45" s="36"/>
      <c r="AM45" s="36"/>
      <c r="AN45" s="36"/>
      <c r="AO45" s="36"/>
      <c r="AP45" s="43">
        <v>110.0</v>
      </c>
    </row>
    <row r="46">
      <c r="A46" s="38">
        <f t="shared" si="2"/>
        <v>64</v>
      </c>
      <c r="B46" s="39" t="s">
        <v>130</v>
      </c>
      <c r="C46" s="39" t="s">
        <v>131</v>
      </c>
      <c r="D46" s="39" t="s">
        <v>132</v>
      </c>
      <c r="E46" s="28">
        <v>16.0</v>
      </c>
      <c r="F46" s="28">
        <v>0.0</v>
      </c>
      <c r="G46" s="28">
        <v>16.0</v>
      </c>
      <c r="H46" s="30"/>
      <c r="I46" s="40"/>
      <c r="J46" s="30"/>
      <c r="K46" s="40"/>
      <c r="L46" s="30"/>
      <c r="M46" s="30"/>
      <c r="N46" s="30"/>
      <c r="O46" s="30"/>
      <c r="P46" s="40"/>
      <c r="Q46" s="30"/>
      <c r="R46" s="29"/>
      <c r="S46" s="28">
        <v>16.0</v>
      </c>
      <c r="T46" s="29"/>
      <c r="U46" s="29"/>
      <c r="V46" s="29"/>
      <c r="W46" s="29"/>
      <c r="X46" s="29"/>
      <c r="Y46" s="29"/>
      <c r="Z46" s="29"/>
      <c r="AA46" s="29"/>
      <c r="AB46" s="29"/>
      <c r="AC46" s="30"/>
      <c r="AD46" s="30"/>
      <c r="AE46" s="22">
        <v>16.0</v>
      </c>
      <c r="AF46" s="31">
        <v>0.0</v>
      </c>
      <c r="AG46" s="22" t="s">
        <v>36</v>
      </c>
      <c r="AH46" s="41">
        <v>1.1775923E7</v>
      </c>
      <c r="AI46" s="41">
        <v>1.88414768E8</v>
      </c>
      <c r="AJ46" s="33" t="str">
        <f t="shared" si="1"/>
        <v>&gt;1 tahun</v>
      </c>
      <c r="AK46" s="36"/>
      <c r="AL46" s="36"/>
      <c r="AM46" s="36"/>
      <c r="AN46" s="36"/>
      <c r="AO46" s="36"/>
      <c r="AP46" s="43">
        <v>16.0</v>
      </c>
    </row>
    <row r="47">
      <c r="A47" s="38">
        <f t="shared" si="2"/>
        <v>65</v>
      </c>
      <c r="B47" s="39" t="s">
        <v>133</v>
      </c>
      <c r="C47" s="39" t="s">
        <v>134</v>
      </c>
      <c r="D47" s="39" t="s">
        <v>135</v>
      </c>
      <c r="E47" s="28">
        <v>32.0</v>
      </c>
      <c r="F47" s="28">
        <v>0.0</v>
      </c>
      <c r="G47" s="28">
        <v>32.0</v>
      </c>
      <c r="H47" s="30"/>
      <c r="I47" s="30"/>
      <c r="J47" s="30"/>
      <c r="K47" s="30"/>
      <c r="L47" s="30"/>
      <c r="M47" s="30"/>
      <c r="N47" s="30"/>
      <c r="O47" s="30"/>
      <c r="P47" s="40"/>
      <c r="Q47" s="30"/>
      <c r="R47" s="28">
        <v>32.0</v>
      </c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30"/>
      <c r="AD47" s="30"/>
      <c r="AE47" s="22">
        <v>32.0</v>
      </c>
      <c r="AF47" s="31">
        <v>0.0</v>
      </c>
      <c r="AG47" s="22" t="s">
        <v>36</v>
      </c>
      <c r="AH47" s="41">
        <v>3917108.0</v>
      </c>
      <c r="AI47" s="41">
        <v>1.25347456E8</v>
      </c>
      <c r="AJ47" s="33" t="str">
        <f t="shared" si="1"/>
        <v>&lt;30 hari; 30-60 hari</v>
      </c>
      <c r="AK47" s="35">
        <v>2.0</v>
      </c>
      <c r="AL47" s="35">
        <v>30.0</v>
      </c>
      <c r="AM47" s="36"/>
      <c r="AN47" s="36"/>
      <c r="AO47" s="36"/>
      <c r="AP47" s="44"/>
    </row>
    <row r="48">
      <c r="A48" s="38">
        <f t="shared" si="2"/>
        <v>66</v>
      </c>
      <c r="B48" s="39" t="s">
        <v>133</v>
      </c>
      <c r="C48" s="39" t="s">
        <v>134</v>
      </c>
      <c r="D48" s="39" t="s">
        <v>136</v>
      </c>
      <c r="E48" s="28">
        <v>355.0</v>
      </c>
      <c r="F48" s="28">
        <v>0.0</v>
      </c>
      <c r="G48" s="28">
        <v>355.0</v>
      </c>
      <c r="H48" s="40"/>
      <c r="I48" s="30"/>
      <c r="J48" s="30"/>
      <c r="K48" s="40"/>
      <c r="L48" s="30"/>
      <c r="M48" s="30"/>
      <c r="N48" s="30"/>
      <c r="O48" s="30"/>
      <c r="P48" s="40"/>
      <c r="Q48" s="30"/>
      <c r="R48" s="28">
        <v>168.0</v>
      </c>
      <c r="S48" s="29"/>
      <c r="T48" s="29"/>
      <c r="U48" s="29"/>
      <c r="V48" s="28">
        <v>187.0</v>
      </c>
      <c r="W48" s="29"/>
      <c r="X48" s="29"/>
      <c r="Y48" s="29"/>
      <c r="Z48" s="29"/>
      <c r="AA48" s="29"/>
      <c r="AB48" s="29"/>
      <c r="AC48" s="30"/>
      <c r="AD48" s="30"/>
      <c r="AE48" s="22">
        <v>355.0</v>
      </c>
      <c r="AF48" s="31">
        <v>0.0</v>
      </c>
      <c r="AG48" s="22" t="s">
        <v>36</v>
      </c>
      <c r="AH48" s="41">
        <v>5103147.0</v>
      </c>
      <c r="AI48" s="41">
        <v>1.811617185E9</v>
      </c>
      <c r="AJ48" s="33" t="str">
        <f t="shared" si="1"/>
        <v>&lt;30 hari; 30-60 hari</v>
      </c>
      <c r="AK48" s="35">
        <v>192.0</v>
      </c>
      <c r="AL48" s="35">
        <v>163.0</v>
      </c>
      <c r="AM48" s="36"/>
      <c r="AN48" s="36"/>
      <c r="AO48" s="36"/>
      <c r="AP48" s="44"/>
    </row>
    <row r="49">
      <c r="A49" s="38">
        <f t="shared" si="2"/>
        <v>67</v>
      </c>
      <c r="B49" s="39" t="s">
        <v>137</v>
      </c>
      <c r="C49" s="39" t="s">
        <v>138</v>
      </c>
      <c r="D49" s="39" t="s">
        <v>139</v>
      </c>
      <c r="E49" s="28">
        <v>241.0</v>
      </c>
      <c r="F49" s="28">
        <v>0.0</v>
      </c>
      <c r="G49" s="28">
        <v>241.0</v>
      </c>
      <c r="H49" s="40"/>
      <c r="I49" s="30"/>
      <c r="J49" s="30"/>
      <c r="K49" s="30"/>
      <c r="L49" s="30"/>
      <c r="M49" s="30"/>
      <c r="N49" s="30"/>
      <c r="O49" s="30"/>
      <c r="P49" s="40"/>
      <c r="Q49" s="30"/>
      <c r="R49" s="28">
        <v>96.0</v>
      </c>
      <c r="S49" s="28">
        <v>145.0</v>
      </c>
      <c r="T49" s="29"/>
      <c r="U49" s="29"/>
      <c r="V49" s="29"/>
      <c r="W49" s="29"/>
      <c r="X49" s="29"/>
      <c r="Y49" s="29"/>
      <c r="Z49" s="29"/>
      <c r="AA49" s="29"/>
      <c r="AB49" s="29"/>
      <c r="AC49" s="30"/>
      <c r="AD49" s="30"/>
      <c r="AE49" s="22">
        <v>241.0</v>
      </c>
      <c r="AF49" s="31">
        <v>0.0</v>
      </c>
      <c r="AG49" s="22" t="s">
        <v>36</v>
      </c>
      <c r="AH49" s="41">
        <v>7440081.0</v>
      </c>
      <c r="AI49" s="41">
        <v>1.793059521E9</v>
      </c>
      <c r="AJ49" s="33" t="str">
        <f t="shared" si="1"/>
        <v>&lt;30 hari</v>
      </c>
      <c r="AK49" s="35">
        <v>241.0</v>
      </c>
      <c r="AL49" s="36"/>
      <c r="AM49" s="36"/>
      <c r="AN49" s="36"/>
      <c r="AO49" s="36"/>
      <c r="AP49" s="44"/>
    </row>
    <row r="50">
      <c r="A50" s="38">
        <f t="shared" si="2"/>
        <v>68</v>
      </c>
      <c r="B50" s="39" t="s">
        <v>140</v>
      </c>
      <c r="C50" s="39" t="s">
        <v>141</v>
      </c>
      <c r="D50" s="39" t="s">
        <v>142</v>
      </c>
      <c r="E50" s="28">
        <v>17.0</v>
      </c>
      <c r="F50" s="28">
        <v>0.0</v>
      </c>
      <c r="G50" s="28">
        <v>17.0</v>
      </c>
      <c r="H50" s="40"/>
      <c r="I50" s="30"/>
      <c r="J50" s="30"/>
      <c r="K50" s="30"/>
      <c r="L50" s="30"/>
      <c r="M50" s="30"/>
      <c r="N50" s="30"/>
      <c r="O50" s="30"/>
      <c r="P50" s="30"/>
      <c r="Q50" s="30"/>
      <c r="R50" s="28">
        <v>17.0</v>
      </c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30"/>
      <c r="AD50" s="30"/>
      <c r="AE50" s="22">
        <v>17.0</v>
      </c>
      <c r="AF50" s="31">
        <v>0.0</v>
      </c>
      <c r="AG50" s="22" t="s">
        <v>36</v>
      </c>
      <c r="AH50" s="41">
        <v>2.4948115E7</v>
      </c>
      <c r="AI50" s="41">
        <v>4.24117958E8</v>
      </c>
      <c r="AJ50" s="33" t="str">
        <f t="shared" si="1"/>
        <v>&lt;30 hari</v>
      </c>
      <c r="AK50" s="35">
        <v>17.0</v>
      </c>
      <c r="AL50" s="36"/>
      <c r="AM50" s="36"/>
      <c r="AN50" s="36"/>
      <c r="AO50" s="36"/>
      <c r="AP50" s="44"/>
    </row>
    <row r="51">
      <c r="A51" s="38">
        <f t="shared" si="2"/>
        <v>69</v>
      </c>
      <c r="B51" s="39" t="s">
        <v>143</v>
      </c>
      <c r="C51" s="39" t="s">
        <v>144</v>
      </c>
      <c r="D51" s="39" t="s">
        <v>145</v>
      </c>
      <c r="E51" s="28">
        <v>12.0</v>
      </c>
      <c r="F51" s="28">
        <v>0.0</v>
      </c>
      <c r="G51" s="28">
        <v>12.0</v>
      </c>
      <c r="H51" s="30"/>
      <c r="I51" s="46"/>
      <c r="J51" s="30"/>
      <c r="K51" s="30"/>
      <c r="L51" s="30"/>
      <c r="M51" s="30"/>
      <c r="N51" s="30"/>
      <c r="O51" s="30"/>
      <c r="P51" s="30"/>
      <c r="Q51" s="30"/>
      <c r="R51" s="28">
        <v>12.0</v>
      </c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30"/>
      <c r="AD51" s="30"/>
      <c r="AE51" s="22">
        <v>12.0</v>
      </c>
      <c r="AF51" s="31">
        <v>0.0</v>
      </c>
      <c r="AG51" s="22" t="s">
        <v>36</v>
      </c>
      <c r="AH51" s="41">
        <v>7470418.0</v>
      </c>
      <c r="AI51" s="41">
        <v>8.9645016E7</v>
      </c>
      <c r="AJ51" s="33" t="str">
        <f t="shared" si="1"/>
        <v>&lt;30 hari</v>
      </c>
      <c r="AK51" s="35">
        <v>12.0</v>
      </c>
      <c r="AL51" s="36"/>
      <c r="AM51" s="36"/>
      <c r="AN51" s="36"/>
      <c r="AO51" s="36"/>
      <c r="AP51" s="44"/>
    </row>
    <row r="52">
      <c r="A52" s="38">
        <f t="shared" si="2"/>
        <v>70</v>
      </c>
      <c r="B52" s="39" t="s">
        <v>146</v>
      </c>
      <c r="C52" s="39" t="s">
        <v>147</v>
      </c>
      <c r="D52" s="39" t="s">
        <v>148</v>
      </c>
      <c r="E52" s="28">
        <v>10.0</v>
      </c>
      <c r="F52" s="28">
        <v>0.0</v>
      </c>
      <c r="G52" s="28">
        <v>10.0</v>
      </c>
      <c r="H52" s="30"/>
      <c r="I52" s="30"/>
      <c r="J52" s="30"/>
      <c r="K52" s="40"/>
      <c r="L52" s="30"/>
      <c r="M52" s="40"/>
      <c r="N52" s="30"/>
      <c r="O52" s="30"/>
      <c r="P52" s="40"/>
      <c r="Q52" s="30"/>
      <c r="R52" s="29"/>
      <c r="S52" s="29"/>
      <c r="T52" s="28">
        <v>2.0</v>
      </c>
      <c r="U52" s="28">
        <v>5.0</v>
      </c>
      <c r="V52" s="29"/>
      <c r="W52" s="29"/>
      <c r="X52" s="28">
        <v>2.0</v>
      </c>
      <c r="Y52" s="28">
        <v>1.0</v>
      </c>
      <c r="Z52" s="29"/>
      <c r="AA52" s="29"/>
      <c r="AB52" s="29"/>
      <c r="AC52" s="30"/>
      <c r="AD52" s="30"/>
      <c r="AE52" s="22">
        <v>10.0</v>
      </c>
      <c r="AF52" s="31">
        <v>0.0</v>
      </c>
      <c r="AG52" s="22" t="s">
        <v>36</v>
      </c>
      <c r="AH52" s="41">
        <v>4.09557575E8</v>
      </c>
      <c r="AI52" s="41">
        <v>4.09557575E9</v>
      </c>
      <c r="AJ52" s="33" t="str">
        <f t="shared" si="1"/>
        <v>&gt;1 tahun</v>
      </c>
      <c r="AK52" s="36"/>
      <c r="AL52" s="36"/>
      <c r="AM52" s="36"/>
      <c r="AN52" s="36"/>
      <c r="AO52" s="36"/>
      <c r="AP52" s="43">
        <v>10.0</v>
      </c>
    </row>
    <row r="53">
      <c r="A53" s="38">
        <f t="shared" si="2"/>
        <v>71</v>
      </c>
      <c r="B53" s="47" t="s">
        <v>149</v>
      </c>
      <c r="C53" s="39" t="s">
        <v>150</v>
      </c>
      <c r="D53" s="39" t="s">
        <v>151</v>
      </c>
      <c r="E53" s="28">
        <v>18.0</v>
      </c>
      <c r="F53" s="28">
        <v>0.0</v>
      </c>
      <c r="G53" s="28">
        <v>18.0</v>
      </c>
      <c r="H53" s="30"/>
      <c r="I53" s="30"/>
      <c r="J53" s="30"/>
      <c r="K53" s="40"/>
      <c r="L53" s="30"/>
      <c r="M53" s="40"/>
      <c r="N53" s="30"/>
      <c r="O53" s="30"/>
      <c r="P53" s="40"/>
      <c r="Q53" s="30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8">
        <v>18.0</v>
      </c>
      <c r="AC53" s="30"/>
      <c r="AD53" s="30"/>
      <c r="AE53" s="22">
        <v>18.0</v>
      </c>
      <c r="AF53" s="31">
        <v>0.0</v>
      </c>
      <c r="AG53" s="22" t="s">
        <v>36</v>
      </c>
      <c r="AH53" s="41">
        <v>2228017.0</v>
      </c>
      <c r="AI53" s="41">
        <v>4.0104306E7</v>
      </c>
      <c r="AJ53" s="33" t="str">
        <f t="shared" si="1"/>
        <v>&gt;1 tahun</v>
      </c>
      <c r="AK53" s="36"/>
      <c r="AL53" s="36"/>
      <c r="AM53" s="36"/>
      <c r="AN53" s="36"/>
      <c r="AO53" s="36"/>
      <c r="AP53" s="43">
        <v>18.0</v>
      </c>
    </row>
    <row r="54">
      <c r="A54" s="38">
        <f t="shared" si="2"/>
        <v>72</v>
      </c>
      <c r="B54" s="39" t="s">
        <v>152</v>
      </c>
      <c r="C54" s="39" t="s">
        <v>153</v>
      </c>
      <c r="D54" s="39" t="s">
        <v>154</v>
      </c>
      <c r="E54" s="28">
        <v>4.0</v>
      </c>
      <c r="F54" s="28">
        <v>0.0</v>
      </c>
      <c r="G54" s="28">
        <v>4.0</v>
      </c>
      <c r="H54" s="30"/>
      <c r="I54" s="30"/>
      <c r="J54" s="30"/>
      <c r="K54" s="40"/>
      <c r="L54" s="30"/>
      <c r="M54" s="30"/>
      <c r="N54" s="30"/>
      <c r="O54" s="30"/>
      <c r="P54" s="30"/>
      <c r="Q54" s="30"/>
      <c r="R54" s="29"/>
      <c r="S54" s="29"/>
      <c r="T54" s="29"/>
      <c r="U54" s="29"/>
      <c r="V54" s="29"/>
      <c r="W54" s="29"/>
      <c r="X54" s="29"/>
      <c r="Y54" s="29"/>
      <c r="Z54" s="28">
        <v>4.0</v>
      </c>
      <c r="AA54" s="29"/>
      <c r="AB54" s="29"/>
      <c r="AC54" s="30"/>
      <c r="AD54" s="30"/>
      <c r="AE54" s="22">
        <v>4.0</v>
      </c>
      <c r="AF54" s="31">
        <v>0.0</v>
      </c>
      <c r="AG54" s="22" t="s">
        <v>36</v>
      </c>
      <c r="AH54" s="41">
        <v>1.17998652E8</v>
      </c>
      <c r="AI54" s="41">
        <v>4.71994608E8</v>
      </c>
      <c r="AJ54" s="33" t="str">
        <f t="shared" si="1"/>
        <v>60-90 hari</v>
      </c>
      <c r="AK54" s="36"/>
      <c r="AL54" s="36"/>
      <c r="AM54" s="35">
        <v>4.0</v>
      </c>
      <c r="AN54" s="36"/>
      <c r="AO54" s="36"/>
      <c r="AP54" s="44"/>
    </row>
    <row r="55">
      <c r="A55" s="38">
        <f t="shared" si="2"/>
        <v>73</v>
      </c>
      <c r="B55" s="39" t="s">
        <v>152</v>
      </c>
      <c r="C55" s="39" t="s">
        <v>153</v>
      </c>
      <c r="D55" s="39" t="s">
        <v>155</v>
      </c>
      <c r="E55" s="28">
        <v>4.0</v>
      </c>
      <c r="F55" s="28">
        <v>0.0</v>
      </c>
      <c r="G55" s="28">
        <v>4.0</v>
      </c>
      <c r="H55" s="30"/>
      <c r="I55" s="30"/>
      <c r="J55" s="40"/>
      <c r="K55" s="40"/>
      <c r="L55" s="30"/>
      <c r="M55" s="30"/>
      <c r="N55" s="30"/>
      <c r="O55" s="30"/>
      <c r="P55" s="30"/>
      <c r="Q55" s="30"/>
      <c r="R55" s="29"/>
      <c r="S55" s="29"/>
      <c r="T55" s="29"/>
      <c r="U55" s="29"/>
      <c r="V55" s="29"/>
      <c r="W55" s="29"/>
      <c r="X55" s="29"/>
      <c r="Y55" s="29"/>
      <c r="Z55" s="28">
        <v>4.0</v>
      </c>
      <c r="AA55" s="29"/>
      <c r="AB55" s="29"/>
      <c r="AC55" s="30"/>
      <c r="AD55" s="30"/>
      <c r="AE55" s="22">
        <v>4.0</v>
      </c>
      <c r="AF55" s="31">
        <v>0.0</v>
      </c>
      <c r="AG55" s="22" t="s">
        <v>36</v>
      </c>
      <c r="AH55" s="41">
        <v>1.22954921E8</v>
      </c>
      <c r="AI55" s="41">
        <v>4.91819684E8</v>
      </c>
      <c r="AJ55" s="33" t="str">
        <f t="shared" si="1"/>
        <v>60-90 hari</v>
      </c>
      <c r="AK55" s="36"/>
      <c r="AL55" s="36"/>
      <c r="AM55" s="35">
        <v>4.0</v>
      </c>
      <c r="AN55" s="36"/>
      <c r="AO55" s="36"/>
      <c r="AP55" s="44"/>
    </row>
    <row r="56">
      <c r="A56" s="38">
        <f t="shared" si="2"/>
        <v>74</v>
      </c>
      <c r="B56" s="39" t="s">
        <v>152</v>
      </c>
      <c r="C56" s="39" t="s">
        <v>153</v>
      </c>
      <c r="D56" s="39" t="s">
        <v>156</v>
      </c>
      <c r="E56" s="28">
        <v>2.0</v>
      </c>
      <c r="F56" s="28">
        <v>0.0</v>
      </c>
      <c r="G56" s="28">
        <v>2.0</v>
      </c>
      <c r="H56" s="30"/>
      <c r="I56" s="30"/>
      <c r="J56" s="40"/>
      <c r="K56" s="40"/>
      <c r="L56" s="30"/>
      <c r="M56" s="30"/>
      <c r="N56" s="30"/>
      <c r="O56" s="30"/>
      <c r="P56" s="30"/>
      <c r="Q56" s="30"/>
      <c r="R56" s="29"/>
      <c r="S56" s="29"/>
      <c r="T56" s="29"/>
      <c r="U56" s="29"/>
      <c r="V56" s="29"/>
      <c r="W56" s="29"/>
      <c r="X56" s="29"/>
      <c r="Y56" s="29"/>
      <c r="Z56" s="28">
        <v>2.0</v>
      </c>
      <c r="AA56" s="29"/>
      <c r="AB56" s="29"/>
      <c r="AC56" s="30"/>
      <c r="AD56" s="30"/>
      <c r="AE56" s="22">
        <v>2.0</v>
      </c>
      <c r="AF56" s="31">
        <v>0.0</v>
      </c>
      <c r="AG56" s="22" t="s">
        <v>36</v>
      </c>
      <c r="AH56" s="41">
        <v>1.27041305E8</v>
      </c>
      <c r="AI56" s="41">
        <v>2.5408261E8</v>
      </c>
      <c r="AJ56" s="33" t="str">
        <f t="shared" si="1"/>
        <v>60-90 hari</v>
      </c>
      <c r="AK56" s="36"/>
      <c r="AL56" s="36"/>
      <c r="AM56" s="35">
        <v>2.0</v>
      </c>
      <c r="AN56" s="36"/>
      <c r="AO56" s="36"/>
      <c r="AP56" s="44"/>
    </row>
    <row r="57">
      <c r="A57" s="38">
        <f t="shared" si="2"/>
        <v>75</v>
      </c>
      <c r="B57" s="39" t="s">
        <v>152</v>
      </c>
      <c r="C57" s="39" t="s">
        <v>153</v>
      </c>
      <c r="D57" s="39" t="s">
        <v>157</v>
      </c>
      <c r="E57" s="28">
        <v>2.0</v>
      </c>
      <c r="F57" s="28">
        <v>0.0</v>
      </c>
      <c r="G57" s="28">
        <v>2.0</v>
      </c>
      <c r="H57" s="30"/>
      <c r="I57" s="30"/>
      <c r="J57" s="40"/>
      <c r="K57" s="40"/>
      <c r="L57" s="30"/>
      <c r="M57" s="30"/>
      <c r="N57" s="30"/>
      <c r="O57" s="30"/>
      <c r="P57" s="30"/>
      <c r="Q57" s="30"/>
      <c r="R57" s="29"/>
      <c r="S57" s="29"/>
      <c r="T57" s="29"/>
      <c r="U57" s="29"/>
      <c r="V57" s="29"/>
      <c r="W57" s="29"/>
      <c r="X57" s="29"/>
      <c r="Y57" s="29"/>
      <c r="Z57" s="28">
        <v>2.0</v>
      </c>
      <c r="AA57" s="29"/>
      <c r="AB57" s="29"/>
      <c r="AC57" s="48"/>
      <c r="AD57" s="48"/>
      <c r="AE57" s="22">
        <v>2.0</v>
      </c>
      <c r="AF57" s="31">
        <v>0.0</v>
      </c>
      <c r="AG57" s="22" t="s">
        <v>36</v>
      </c>
      <c r="AH57" s="41">
        <v>1.79063921E8</v>
      </c>
      <c r="AI57" s="41">
        <v>3.58127842E8</v>
      </c>
      <c r="AJ57" s="33" t="str">
        <f t="shared" si="1"/>
        <v>60-90 hari</v>
      </c>
      <c r="AK57" s="36"/>
      <c r="AL57" s="36"/>
      <c r="AM57" s="35">
        <v>2.0</v>
      </c>
      <c r="AN57" s="36"/>
      <c r="AO57" s="36"/>
      <c r="AP57" s="44"/>
    </row>
    <row r="58">
      <c r="A58" s="38">
        <f t="shared" si="2"/>
        <v>76</v>
      </c>
      <c r="B58" s="39" t="s">
        <v>152</v>
      </c>
      <c r="C58" s="39" t="s">
        <v>153</v>
      </c>
      <c r="D58" s="39" t="s">
        <v>158</v>
      </c>
      <c r="E58" s="28">
        <v>10.0</v>
      </c>
      <c r="F58" s="28">
        <v>0.0</v>
      </c>
      <c r="G58" s="28">
        <v>10.0</v>
      </c>
      <c r="H58" s="30"/>
      <c r="I58" s="40"/>
      <c r="J58" s="40"/>
      <c r="K58" s="40"/>
      <c r="L58" s="30"/>
      <c r="M58" s="30"/>
      <c r="N58" s="30"/>
      <c r="O58" s="30"/>
      <c r="P58" s="30"/>
      <c r="Q58" s="30"/>
      <c r="R58" s="29"/>
      <c r="S58" s="28">
        <v>6.0</v>
      </c>
      <c r="T58" s="29"/>
      <c r="U58" s="29"/>
      <c r="V58" s="29"/>
      <c r="W58" s="29"/>
      <c r="X58" s="29"/>
      <c r="Y58" s="29"/>
      <c r="Z58" s="29"/>
      <c r="AA58" s="29"/>
      <c r="AB58" s="28">
        <v>4.0</v>
      </c>
      <c r="AC58" s="48"/>
      <c r="AD58" s="48"/>
      <c r="AE58" s="22">
        <v>10.0</v>
      </c>
      <c r="AF58" s="31">
        <v>0.0</v>
      </c>
      <c r="AG58" s="22" t="s">
        <v>36</v>
      </c>
      <c r="AH58" s="41">
        <v>1.94375407E8</v>
      </c>
      <c r="AI58" s="41">
        <v>1.94375407E9</v>
      </c>
      <c r="AJ58" s="33" t="str">
        <f t="shared" si="1"/>
        <v>60-90 hari</v>
      </c>
      <c r="AK58" s="36"/>
      <c r="AL58" s="36"/>
      <c r="AM58" s="35">
        <v>10.0</v>
      </c>
      <c r="AN58" s="36"/>
      <c r="AO58" s="36"/>
      <c r="AP58" s="44"/>
    </row>
    <row r="59">
      <c r="A59" s="38">
        <f t="shared" si="2"/>
        <v>77</v>
      </c>
      <c r="B59" s="39" t="s">
        <v>152</v>
      </c>
      <c r="C59" s="39" t="s">
        <v>153</v>
      </c>
      <c r="D59" s="39" t="s">
        <v>159</v>
      </c>
      <c r="E59" s="28">
        <v>7.0</v>
      </c>
      <c r="F59" s="28">
        <v>0.0</v>
      </c>
      <c r="G59" s="28">
        <v>7.0</v>
      </c>
      <c r="H59" s="30"/>
      <c r="I59" s="30"/>
      <c r="J59" s="30"/>
      <c r="K59" s="30"/>
      <c r="L59" s="30"/>
      <c r="M59" s="30"/>
      <c r="N59" s="40"/>
      <c r="O59" s="30"/>
      <c r="P59" s="30"/>
      <c r="Q59" s="30"/>
      <c r="R59" s="29"/>
      <c r="S59" s="28">
        <v>2.0</v>
      </c>
      <c r="T59" s="29"/>
      <c r="U59" s="29"/>
      <c r="V59" s="28">
        <v>5.0</v>
      </c>
      <c r="W59" s="29"/>
      <c r="X59" s="29"/>
      <c r="Y59" s="29"/>
      <c r="Z59" s="29"/>
      <c r="AA59" s="29"/>
      <c r="AB59" s="29"/>
      <c r="AC59" s="48"/>
      <c r="AD59" s="48"/>
      <c r="AE59" s="22">
        <v>7.0</v>
      </c>
      <c r="AF59" s="31">
        <v>0.0</v>
      </c>
      <c r="AG59" s="22" t="s">
        <v>36</v>
      </c>
      <c r="AH59" s="41">
        <v>2.10124804E8</v>
      </c>
      <c r="AI59" s="41">
        <v>1.470873628E9</v>
      </c>
      <c r="AJ59" s="33" t="str">
        <f t="shared" si="1"/>
        <v>60-90 hari</v>
      </c>
      <c r="AK59" s="36"/>
      <c r="AL59" s="36"/>
      <c r="AM59" s="35">
        <v>7.0</v>
      </c>
      <c r="AN59" s="36"/>
      <c r="AO59" s="36"/>
      <c r="AP59" s="44"/>
    </row>
    <row r="60">
      <c r="A60" s="38">
        <f t="shared" si="2"/>
        <v>78</v>
      </c>
      <c r="B60" s="39" t="s">
        <v>152</v>
      </c>
      <c r="C60" s="39" t="s">
        <v>160</v>
      </c>
      <c r="D60" s="39" t="s">
        <v>161</v>
      </c>
      <c r="E60" s="28">
        <v>8.0</v>
      </c>
      <c r="F60" s="28">
        <v>0.0</v>
      </c>
      <c r="G60" s="28">
        <v>8.0</v>
      </c>
      <c r="H60" s="30"/>
      <c r="I60" s="30"/>
      <c r="J60" s="30"/>
      <c r="K60" s="30"/>
      <c r="L60" s="30"/>
      <c r="M60" s="30"/>
      <c r="N60" s="40"/>
      <c r="O60" s="30"/>
      <c r="P60" s="30"/>
      <c r="Q60" s="30"/>
      <c r="R60" s="29"/>
      <c r="S60" s="29"/>
      <c r="T60" s="29"/>
      <c r="U60" s="29"/>
      <c r="V60" s="28">
        <v>3.0</v>
      </c>
      <c r="W60" s="28">
        <v>2.0</v>
      </c>
      <c r="X60" s="29"/>
      <c r="Y60" s="29"/>
      <c r="Z60" s="28">
        <v>3.0</v>
      </c>
      <c r="AA60" s="29"/>
      <c r="AB60" s="29"/>
      <c r="AC60" s="48"/>
      <c r="AD60" s="48"/>
      <c r="AE60" s="22">
        <v>8.0</v>
      </c>
      <c r="AF60" s="31">
        <v>0.0</v>
      </c>
      <c r="AG60" s="22" t="s">
        <v>36</v>
      </c>
      <c r="AH60" s="41">
        <v>1.34970699E8</v>
      </c>
      <c r="AI60" s="41">
        <v>1.079765592E9</v>
      </c>
      <c r="AJ60" s="33" t="str">
        <f t="shared" si="1"/>
        <v>60-90 hari</v>
      </c>
      <c r="AK60" s="36"/>
      <c r="AL60" s="36"/>
      <c r="AM60" s="35">
        <v>8.0</v>
      </c>
      <c r="AN60" s="36"/>
      <c r="AO60" s="36"/>
      <c r="AP60" s="44"/>
    </row>
    <row r="61">
      <c r="A61" s="38">
        <f t="shared" si="2"/>
        <v>79</v>
      </c>
      <c r="B61" s="39" t="s">
        <v>152</v>
      </c>
      <c r="C61" s="39" t="s">
        <v>160</v>
      </c>
      <c r="D61" s="39" t="s">
        <v>162</v>
      </c>
      <c r="E61" s="28">
        <v>4.0</v>
      </c>
      <c r="F61" s="28">
        <v>0.0</v>
      </c>
      <c r="G61" s="28">
        <v>4.0</v>
      </c>
      <c r="H61" s="30"/>
      <c r="I61" s="30"/>
      <c r="J61" s="30"/>
      <c r="K61" s="30"/>
      <c r="L61" s="30"/>
      <c r="M61" s="30"/>
      <c r="N61" s="40"/>
      <c r="O61" s="30"/>
      <c r="P61" s="30"/>
      <c r="Q61" s="30"/>
      <c r="R61" s="29"/>
      <c r="S61" s="28">
        <v>4.0</v>
      </c>
      <c r="T61" s="29"/>
      <c r="U61" s="29"/>
      <c r="V61" s="29"/>
      <c r="W61" s="29"/>
      <c r="X61" s="29"/>
      <c r="Y61" s="29"/>
      <c r="Z61" s="29"/>
      <c r="AA61" s="29"/>
      <c r="AB61" s="29"/>
      <c r="AC61" s="48"/>
      <c r="AD61" s="48"/>
      <c r="AE61" s="22">
        <v>4.0</v>
      </c>
      <c r="AF61" s="31">
        <v>0.0</v>
      </c>
      <c r="AG61" s="22" t="s">
        <v>36</v>
      </c>
      <c r="AH61" s="41">
        <v>1.4181825E8</v>
      </c>
      <c r="AI61" s="41">
        <v>5.67273E8</v>
      </c>
      <c r="AJ61" s="33" t="str">
        <f t="shared" si="1"/>
        <v>60-90 hari</v>
      </c>
      <c r="AK61" s="36"/>
      <c r="AL61" s="36"/>
      <c r="AM61" s="35">
        <v>4.0</v>
      </c>
      <c r="AN61" s="36"/>
      <c r="AO61" s="36"/>
      <c r="AP61" s="44"/>
    </row>
    <row r="62">
      <c r="A62" s="38">
        <f t="shared" si="2"/>
        <v>80</v>
      </c>
      <c r="B62" s="39" t="s">
        <v>163</v>
      </c>
      <c r="C62" s="39" t="s">
        <v>164</v>
      </c>
      <c r="D62" s="39" t="s">
        <v>165</v>
      </c>
      <c r="E62" s="28">
        <v>182.0</v>
      </c>
      <c r="F62" s="28">
        <v>0.0</v>
      </c>
      <c r="G62" s="28">
        <v>182.0</v>
      </c>
      <c r="H62" s="30"/>
      <c r="I62" s="30"/>
      <c r="J62" s="30"/>
      <c r="K62" s="30"/>
      <c r="L62" s="30"/>
      <c r="M62" s="30"/>
      <c r="N62" s="40"/>
      <c r="O62" s="30"/>
      <c r="P62" s="30"/>
      <c r="Q62" s="30"/>
      <c r="R62" s="29"/>
      <c r="S62" s="29"/>
      <c r="T62" s="29"/>
      <c r="U62" s="29"/>
      <c r="V62" s="28">
        <v>42.0</v>
      </c>
      <c r="W62" s="28">
        <v>98.0</v>
      </c>
      <c r="X62" s="29"/>
      <c r="Y62" s="29"/>
      <c r="Z62" s="29"/>
      <c r="AA62" s="29"/>
      <c r="AB62" s="28">
        <v>42.0</v>
      </c>
      <c r="AC62" s="48"/>
      <c r="AD62" s="48"/>
      <c r="AE62" s="22">
        <v>182.0</v>
      </c>
      <c r="AF62" s="31">
        <v>0.0</v>
      </c>
      <c r="AG62" s="22" t="s">
        <v>36</v>
      </c>
      <c r="AH62" s="41">
        <v>2.0047574E7</v>
      </c>
      <c r="AI62" s="41">
        <v>3.648658468E9</v>
      </c>
      <c r="AJ62" s="33" t="str">
        <f t="shared" si="1"/>
        <v>&lt;30 hari</v>
      </c>
      <c r="AK62" s="35">
        <v>182.0</v>
      </c>
      <c r="AL62" s="36"/>
      <c r="AM62" s="36"/>
      <c r="AN62" s="36"/>
      <c r="AO62" s="36"/>
      <c r="AP62" s="44"/>
    </row>
    <row r="63">
      <c r="A63" s="38">
        <f t="shared" si="2"/>
        <v>81</v>
      </c>
      <c r="B63" s="39" t="s">
        <v>166</v>
      </c>
      <c r="C63" s="39" t="s">
        <v>56</v>
      </c>
      <c r="D63" s="39" t="s">
        <v>167</v>
      </c>
      <c r="E63" s="28">
        <v>150.0</v>
      </c>
      <c r="F63" s="28">
        <v>0.0</v>
      </c>
      <c r="G63" s="28">
        <v>150.0</v>
      </c>
      <c r="H63" s="30"/>
      <c r="I63" s="30"/>
      <c r="J63" s="30"/>
      <c r="K63" s="30"/>
      <c r="L63" s="30"/>
      <c r="M63" s="30"/>
      <c r="N63" s="40"/>
      <c r="O63" s="30"/>
      <c r="P63" s="30"/>
      <c r="Q63" s="30"/>
      <c r="R63" s="29"/>
      <c r="S63" s="29"/>
      <c r="T63" s="29"/>
      <c r="U63" s="29"/>
      <c r="V63" s="29"/>
      <c r="W63" s="29"/>
      <c r="X63" s="29"/>
      <c r="Y63" s="29"/>
      <c r="Z63" s="29"/>
      <c r="AA63" s="28">
        <v>150.0</v>
      </c>
      <c r="AB63" s="29"/>
      <c r="AC63" s="48"/>
      <c r="AD63" s="48"/>
      <c r="AE63" s="22">
        <v>150.0</v>
      </c>
      <c r="AF63" s="31">
        <v>0.0</v>
      </c>
      <c r="AG63" s="22" t="s">
        <v>36</v>
      </c>
      <c r="AH63" s="41">
        <v>2.04635E7</v>
      </c>
      <c r="AI63" s="41">
        <v>3.069525E9</v>
      </c>
      <c r="AJ63" s="33" t="str">
        <f t="shared" si="1"/>
        <v>&lt;30 hari</v>
      </c>
      <c r="AK63" s="35">
        <v>150.0</v>
      </c>
      <c r="AL63" s="36"/>
      <c r="AM63" s="36"/>
      <c r="AN63" s="36"/>
      <c r="AO63" s="36"/>
      <c r="AP63" s="44"/>
    </row>
    <row r="64">
      <c r="A64" s="38">
        <f t="shared" si="2"/>
        <v>82</v>
      </c>
      <c r="B64" s="39" t="s">
        <v>168</v>
      </c>
      <c r="C64" s="39" t="s">
        <v>169</v>
      </c>
      <c r="D64" s="39" t="s">
        <v>170</v>
      </c>
      <c r="E64" s="28">
        <v>24.0</v>
      </c>
      <c r="F64" s="28">
        <v>0.0</v>
      </c>
      <c r="G64" s="28">
        <v>24.0</v>
      </c>
      <c r="H64" s="30"/>
      <c r="I64" s="30"/>
      <c r="J64" s="30"/>
      <c r="K64" s="30"/>
      <c r="L64" s="30"/>
      <c r="M64" s="30"/>
      <c r="N64" s="30"/>
      <c r="O64" s="40"/>
      <c r="P64" s="30"/>
      <c r="Q64" s="30"/>
      <c r="R64" s="29"/>
      <c r="S64" s="29"/>
      <c r="T64" s="29"/>
      <c r="U64" s="28">
        <v>16.0</v>
      </c>
      <c r="V64" s="29"/>
      <c r="W64" s="29"/>
      <c r="X64" s="29"/>
      <c r="Y64" s="29"/>
      <c r="Z64" s="29"/>
      <c r="AA64" s="29"/>
      <c r="AB64" s="28">
        <v>8.0</v>
      </c>
      <c r="AC64" s="48"/>
      <c r="AD64" s="48"/>
      <c r="AE64" s="22">
        <v>24.0</v>
      </c>
      <c r="AF64" s="31">
        <v>0.0</v>
      </c>
      <c r="AG64" s="22" t="s">
        <v>36</v>
      </c>
      <c r="AH64" s="41">
        <v>9.2580452E7</v>
      </c>
      <c r="AI64" s="41">
        <v>2.221930848E9</v>
      </c>
      <c r="AJ64" s="33" t="str">
        <f t="shared" si="1"/>
        <v>30-60 hari</v>
      </c>
      <c r="AK64" s="36"/>
      <c r="AL64" s="35">
        <v>24.0</v>
      </c>
      <c r="AM64" s="36"/>
      <c r="AN64" s="36"/>
      <c r="AO64" s="36"/>
      <c r="AP64" s="44"/>
    </row>
    <row r="65">
      <c r="A65" s="38">
        <f t="shared" si="2"/>
        <v>83</v>
      </c>
      <c r="B65" s="39" t="s">
        <v>168</v>
      </c>
      <c r="C65" s="39" t="s">
        <v>169</v>
      </c>
      <c r="D65" s="39" t="s">
        <v>171</v>
      </c>
      <c r="E65" s="28">
        <v>24.0</v>
      </c>
      <c r="F65" s="28">
        <v>0.0</v>
      </c>
      <c r="G65" s="28">
        <v>24.0</v>
      </c>
      <c r="H65" s="30"/>
      <c r="I65" s="30"/>
      <c r="J65" s="30"/>
      <c r="K65" s="30"/>
      <c r="L65" s="30"/>
      <c r="M65" s="30"/>
      <c r="N65" s="30"/>
      <c r="O65" s="40"/>
      <c r="P65" s="30"/>
      <c r="Q65" s="30"/>
      <c r="R65" s="29"/>
      <c r="S65" s="28">
        <v>9.0</v>
      </c>
      <c r="T65" s="29"/>
      <c r="U65" s="28">
        <v>3.0</v>
      </c>
      <c r="V65" s="29"/>
      <c r="W65" s="28">
        <v>4.0</v>
      </c>
      <c r="X65" s="29"/>
      <c r="Y65" s="29"/>
      <c r="Z65" s="28">
        <v>8.0</v>
      </c>
      <c r="AA65" s="29"/>
      <c r="AB65" s="29"/>
      <c r="AC65" s="48"/>
      <c r="AD65" s="48"/>
      <c r="AE65" s="22">
        <v>24.0</v>
      </c>
      <c r="AF65" s="31">
        <v>0.0</v>
      </c>
      <c r="AG65" s="22" t="s">
        <v>36</v>
      </c>
      <c r="AH65" s="41">
        <v>1.28032139E8</v>
      </c>
      <c r="AI65" s="41">
        <v>3.072771336E9</v>
      </c>
      <c r="AJ65" s="33" t="str">
        <f t="shared" si="1"/>
        <v>&lt;30 hari</v>
      </c>
      <c r="AK65" s="35">
        <v>24.0</v>
      </c>
      <c r="AL65" s="36"/>
      <c r="AM65" s="36"/>
      <c r="AN65" s="36"/>
      <c r="AO65" s="36"/>
      <c r="AP65" s="44"/>
    </row>
    <row r="66">
      <c r="A66" s="38">
        <f t="shared" si="2"/>
        <v>84</v>
      </c>
      <c r="B66" s="39" t="s">
        <v>172</v>
      </c>
      <c r="C66" s="39" t="s">
        <v>173</v>
      </c>
      <c r="D66" s="39" t="s">
        <v>174</v>
      </c>
      <c r="E66" s="28">
        <v>4.0</v>
      </c>
      <c r="F66" s="28">
        <v>0.0</v>
      </c>
      <c r="G66" s="28">
        <v>4.0</v>
      </c>
      <c r="H66" s="30"/>
      <c r="I66" s="30"/>
      <c r="J66" s="30"/>
      <c r="K66" s="30"/>
      <c r="L66" s="30"/>
      <c r="M66" s="30"/>
      <c r="N66" s="30"/>
      <c r="O66" s="40"/>
      <c r="P66" s="30"/>
      <c r="Q66" s="30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8">
        <v>4.0</v>
      </c>
      <c r="AC66" s="30"/>
      <c r="AD66" s="30"/>
      <c r="AE66" s="22">
        <v>4.0</v>
      </c>
      <c r="AF66" s="31">
        <v>0.0</v>
      </c>
      <c r="AG66" s="22" t="s">
        <v>36</v>
      </c>
      <c r="AH66" s="41">
        <v>1.1875387E8</v>
      </c>
      <c r="AI66" s="41">
        <v>4.7501548E8</v>
      </c>
      <c r="AJ66" s="33" t="str">
        <f t="shared" si="1"/>
        <v>&lt;30 hari</v>
      </c>
      <c r="AK66" s="35">
        <v>4.0</v>
      </c>
      <c r="AL66" s="36"/>
      <c r="AM66" s="36"/>
      <c r="AN66" s="36"/>
      <c r="AO66" s="36"/>
      <c r="AP66" s="44"/>
    </row>
    <row r="67">
      <c r="A67" s="38">
        <f t="shared" si="2"/>
        <v>85</v>
      </c>
      <c r="B67" s="39" t="s">
        <v>72</v>
      </c>
      <c r="C67" s="39" t="s">
        <v>73</v>
      </c>
      <c r="D67" s="39" t="s">
        <v>74</v>
      </c>
      <c r="E67" s="28">
        <v>35.0</v>
      </c>
      <c r="F67" s="28">
        <v>82.0</v>
      </c>
      <c r="G67" s="28">
        <v>117.0</v>
      </c>
      <c r="H67" s="30"/>
      <c r="I67" s="30"/>
      <c r="J67" s="30"/>
      <c r="K67" s="30"/>
      <c r="L67" s="30"/>
      <c r="M67" s="30"/>
      <c r="N67" s="40"/>
      <c r="O67" s="30"/>
      <c r="P67" s="30"/>
      <c r="Q67" s="30"/>
      <c r="R67" s="29"/>
      <c r="S67" s="29"/>
      <c r="T67" s="28">
        <v>36.0</v>
      </c>
      <c r="U67" s="28">
        <v>18.0</v>
      </c>
      <c r="V67" s="29"/>
      <c r="W67" s="29"/>
      <c r="X67" s="28">
        <v>28.0</v>
      </c>
      <c r="Y67" s="28">
        <v>25.0</v>
      </c>
      <c r="Z67" s="29"/>
      <c r="AA67" s="29"/>
      <c r="AB67" s="28">
        <v>10.0</v>
      </c>
      <c r="AC67" s="30"/>
      <c r="AD67" s="30"/>
      <c r="AE67" s="22">
        <v>117.0</v>
      </c>
      <c r="AF67" s="31">
        <v>0.0</v>
      </c>
      <c r="AG67" s="22" t="s">
        <v>36</v>
      </c>
      <c r="AH67" s="41">
        <v>1.10722135E8</v>
      </c>
      <c r="AI67" s="41">
        <v>1.2954489795E10</v>
      </c>
      <c r="AJ67" s="33" t="str">
        <f t="shared" si="1"/>
        <v>&gt;1 tahun</v>
      </c>
      <c r="AK67" s="36"/>
      <c r="AL67" s="36"/>
      <c r="AM67" s="36"/>
      <c r="AN67" s="36"/>
      <c r="AO67" s="36"/>
      <c r="AP67" s="43">
        <v>117.0</v>
      </c>
    </row>
    <row r="68">
      <c r="A68" s="38">
        <f t="shared" si="2"/>
        <v>86</v>
      </c>
      <c r="B68" s="39" t="s">
        <v>175</v>
      </c>
      <c r="C68" s="39" t="s">
        <v>176</v>
      </c>
      <c r="D68" s="39" t="s">
        <v>177</v>
      </c>
      <c r="E68" s="28">
        <v>0.0</v>
      </c>
      <c r="F68" s="28">
        <v>23.0</v>
      </c>
      <c r="G68" s="28">
        <v>23.0</v>
      </c>
      <c r="H68" s="30"/>
      <c r="I68" s="30"/>
      <c r="J68" s="30"/>
      <c r="K68" s="30"/>
      <c r="L68" s="30"/>
      <c r="M68" s="30"/>
      <c r="N68" s="40"/>
      <c r="O68" s="30"/>
      <c r="P68" s="30"/>
      <c r="Q68" s="30"/>
      <c r="R68" s="29"/>
      <c r="S68" s="28">
        <v>23.0</v>
      </c>
      <c r="T68" s="29"/>
      <c r="U68" s="29"/>
      <c r="V68" s="29"/>
      <c r="W68" s="29"/>
      <c r="X68" s="29"/>
      <c r="Y68" s="29"/>
      <c r="Z68" s="29"/>
      <c r="AA68" s="29"/>
      <c r="AB68" s="29"/>
      <c r="AC68" s="30"/>
      <c r="AD68" s="30"/>
      <c r="AE68" s="22">
        <v>23.0</v>
      </c>
      <c r="AF68" s="31">
        <v>0.0</v>
      </c>
      <c r="AG68" s="22" t="s">
        <v>36</v>
      </c>
      <c r="AH68" s="41">
        <v>6660495.0</v>
      </c>
      <c r="AI68" s="41">
        <v>1.53191385E8</v>
      </c>
      <c r="AJ68" s="33" t="str">
        <f t="shared" si="1"/>
        <v>&gt;1 tahun</v>
      </c>
      <c r="AK68" s="36"/>
      <c r="AL68" s="36"/>
      <c r="AM68" s="36"/>
      <c r="AN68" s="36"/>
      <c r="AO68" s="36"/>
      <c r="AP68" s="43">
        <v>23.0</v>
      </c>
    </row>
    <row r="69">
      <c r="A69" s="38">
        <f t="shared" si="2"/>
        <v>87</v>
      </c>
      <c r="B69" s="39" t="s">
        <v>178</v>
      </c>
      <c r="C69" s="39" t="s">
        <v>179</v>
      </c>
      <c r="D69" s="39" t="s">
        <v>180</v>
      </c>
      <c r="E69" s="49">
        <v>0.0</v>
      </c>
      <c r="F69" s="28">
        <v>1.0</v>
      </c>
      <c r="G69" s="49">
        <v>1.0</v>
      </c>
      <c r="H69" s="30"/>
      <c r="I69" s="30"/>
      <c r="J69" s="30"/>
      <c r="K69" s="30"/>
      <c r="L69" s="50"/>
      <c r="M69" s="30"/>
      <c r="N69" s="30"/>
      <c r="O69" s="30"/>
      <c r="P69" s="30"/>
      <c r="Q69" s="30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8">
        <v>1.0</v>
      </c>
      <c r="AC69" s="48"/>
      <c r="AD69" s="48"/>
      <c r="AE69" s="22">
        <v>1.0</v>
      </c>
      <c r="AF69" s="51">
        <v>0.0</v>
      </c>
      <c r="AG69" s="22" t="s">
        <v>36</v>
      </c>
      <c r="AH69" s="41">
        <v>6464943.0</v>
      </c>
      <c r="AI69" s="41">
        <v>6464943.0</v>
      </c>
      <c r="AJ69" s="33" t="str">
        <f t="shared" si="1"/>
        <v>&gt;1 tahun</v>
      </c>
      <c r="AK69" s="36"/>
      <c r="AL69" s="36"/>
      <c r="AM69" s="36"/>
      <c r="AN69" s="36"/>
      <c r="AO69" s="36"/>
      <c r="AP69" s="43">
        <v>1.0</v>
      </c>
    </row>
    <row r="70">
      <c r="A70" s="38">
        <f t="shared" si="2"/>
        <v>88</v>
      </c>
      <c r="B70" s="39" t="s">
        <v>181</v>
      </c>
      <c r="C70" s="39" t="s">
        <v>182</v>
      </c>
      <c r="D70" s="39" t="s">
        <v>183</v>
      </c>
      <c r="E70" s="28">
        <v>0.0</v>
      </c>
      <c r="F70" s="28">
        <v>34.0</v>
      </c>
      <c r="G70" s="28">
        <v>34.0</v>
      </c>
      <c r="H70" s="30"/>
      <c r="I70" s="30"/>
      <c r="J70" s="30"/>
      <c r="K70" s="30"/>
      <c r="L70" s="30"/>
      <c r="M70" s="30"/>
      <c r="N70" s="30"/>
      <c r="O70" s="30"/>
      <c r="P70" s="30"/>
      <c r="Q70" s="40">
        <v>1.0</v>
      </c>
      <c r="R70" s="29"/>
      <c r="S70" s="29"/>
      <c r="T70" s="29"/>
      <c r="U70" s="29"/>
      <c r="V70" s="29"/>
      <c r="W70" s="29"/>
      <c r="X70" s="29"/>
      <c r="Y70" s="29"/>
      <c r="Z70" s="28">
        <v>34.0</v>
      </c>
      <c r="AA70" s="29"/>
      <c r="AB70" s="29"/>
      <c r="AC70" s="48"/>
      <c r="AD70" s="48"/>
      <c r="AE70" s="22">
        <v>34.0</v>
      </c>
      <c r="AF70" s="31">
        <v>0.0</v>
      </c>
      <c r="AG70" s="22" t="s">
        <v>36</v>
      </c>
      <c r="AH70" s="41">
        <v>2617275.0</v>
      </c>
      <c r="AI70" s="41">
        <v>8.898735E7</v>
      </c>
      <c r="AJ70" s="33" t="str">
        <f t="shared" si="1"/>
        <v>&gt;1 tahun</v>
      </c>
      <c r="AK70" s="36"/>
      <c r="AL70" s="36"/>
      <c r="AM70" s="36"/>
      <c r="AN70" s="36"/>
      <c r="AO70" s="36"/>
      <c r="AP70" s="43">
        <v>34.0</v>
      </c>
    </row>
    <row r="71">
      <c r="A71" s="38">
        <f t="shared" si="2"/>
        <v>89</v>
      </c>
      <c r="B71" s="39" t="s">
        <v>184</v>
      </c>
      <c r="C71" s="39" t="s">
        <v>185</v>
      </c>
      <c r="D71" s="39" t="s">
        <v>186</v>
      </c>
      <c r="E71" s="28">
        <v>0.0</v>
      </c>
      <c r="F71" s="49">
        <v>7.0</v>
      </c>
      <c r="G71" s="49">
        <v>7.0</v>
      </c>
      <c r="H71" s="30"/>
      <c r="I71" s="30"/>
      <c r="J71" s="30"/>
      <c r="K71" s="30"/>
      <c r="L71" s="30"/>
      <c r="M71" s="30"/>
      <c r="N71" s="30"/>
      <c r="O71" s="30"/>
      <c r="P71" s="30"/>
      <c r="Q71" s="50">
        <v>1654.0</v>
      </c>
      <c r="R71" s="29"/>
      <c r="S71" s="28">
        <v>7.0</v>
      </c>
      <c r="T71" s="29"/>
      <c r="U71" s="29"/>
      <c r="V71" s="29"/>
      <c r="W71" s="29"/>
      <c r="X71" s="29"/>
      <c r="Y71" s="29"/>
      <c r="Z71" s="29"/>
      <c r="AA71" s="29"/>
      <c r="AB71" s="29"/>
      <c r="AC71" s="48"/>
      <c r="AD71" s="48"/>
      <c r="AE71" s="22">
        <v>7.0</v>
      </c>
      <c r="AF71" s="51">
        <v>0.0</v>
      </c>
      <c r="AG71" s="22" t="s">
        <v>36</v>
      </c>
      <c r="AH71" s="41">
        <v>1.7306176E7</v>
      </c>
      <c r="AI71" s="41">
        <v>1.21143232E8</v>
      </c>
      <c r="AJ71" s="33" t="str">
        <f t="shared" si="1"/>
        <v>&gt;1 tahun</v>
      </c>
      <c r="AK71" s="36"/>
      <c r="AL71" s="36"/>
      <c r="AM71" s="36"/>
      <c r="AN71" s="36"/>
      <c r="AO71" s="36"/>
      <c r="AP71" s="43">
        <v>7.0</v>
      </c>
    </row>
    <row r="72">
      <c r="A72" s="38">
        <f t="shared" si="2"/>
        <v>90</v>
      </c>
      <c r="B72" s="39" t="s">
        <v>187</v>
      </c>
      <c r="C72" s="52"/>
      <c r="D72" s="39" t="s">
        <v>188</v>
      </c>
      <c r="E72" s="28">
        <v>0.0</v>
      </c>
      <c r="F72" s="28">
        <v>5.0</v>
      </c>
      <c r="G72" s="28">
        <v>5.0</v>
      </c>
      <c r="H72" s="30"/>
      <c r="I72" s="30"/>
      <c r="J72" s="30"/>
      <c r="K72" s="30"/>
      <c r="L72" s="30"/>
      <c r="M72" s="30"/>
      <c r="N72" s="30"/>
      <c r="O72" s="30"/>
      <c r="P72" s="30"/>
      <c r="Q72" s="40">
        <v>84.0</v>
      </c>
      <c r="R72" s="29"/>
      <c r="S72" s="29"/>
      <c r="T72" s="29"/>
      <c r="U72" s="29"/>
      <c r="V72" s="29"/>
      <c r="W72" s="29"/>
      <c r="X72" s="29"/>
      <c r="Y72" s="29"/>
      <c r="Z72" s="28">
        <v>5.0</v>
      </c>
      <c r="AA72" s="29"/>
      <c r="AB72" s="29"/>
      <c r="AC72" s="53"/>
      <c r="AD72" s="53"/>
      <c r="AE72" s="22">
        <v>5.0</v>
      </c>
      <c r="AF72" s="31">
        <v>0.0</v>
      </c>
      <c r="AG72" s="22" t="s">
        <v>36</v>
      </c>
      <c r="AH72" s="41">
        <v>7748395.0</v>
      </c>
      <c r="AI72" s="41">
        <v>3.8741975E7</v>
      </c>
      <c r="AJ72" s="33" t="str">
        <f t="shared" si="1"/>
        <v>&gt;1 tahun</v>
      </c>
      <c r="AK72" s="36"/>
      <c r="AL72" s="36"/>
      <c r="AM72" s="36"/>
      <c r="AN72" s="36"/>
      <c r="AO72" s="36"/>
      <c r="AP72" s="43">
        <v>5.0</v>
      </c>
    </row>
    <row r="73">
      <c r="A73" s="38">
        <f t="shared" si="2"/>
        <v>91</v>
      </c>
      <c r="B73" s="39" t="s">
        <v>189</v>
      </c>
      <c r="C73" s="39" t="s">
        <v>190</v>
      </c>
      <c r="D73" s="39" t="s">
        <v>191</v>
      </c>
      <c r="E73" s="28">
        <v>0.0</v>
      </c>
      <c r="F73" s="28">
        <v>11.0</v>
      </c>
      <c r="G73" s="28">
        <v>11.0</v>
      </c>
      <c r="H73" s="30"/>
      <c r="I73" s="30"/>
      <c r="J73" s="30"/>
      <c r="K73" s="30"/>
      <c r="L73" s="30"/>
      <c r="M73" s="30"/>
      <c r="N73" s="30"/>
      <c r="O73" s="30"/>
      <c r="P73" s="30"/>
      <c r="Q73" s="40">
        <v>576.0</v>
      </c>
      <c r="R73" s="29"/>
      <c r="S73" s="29"/>
      <c r="T73" s="29"/>
      <c r="U73" s="29"/>
      <c r="V73" s="29"/>
      <c r="W73" s="29"/>
      <c r="X73" s="29"/>
      <c r="Y73" s="29"/>
      <c r="Z73" s="28">
        <v>11.0</v>
      </c>
      <c r="AA73" s="29"/>
      <c r="AB73" s="29"/>
      <c r="AC73" s="48"/>
      <c r="AD73" s="48"/>
      <c r="AE73" s="22">
        <v>11.0</v>
      </c>
      <c r="AF73" s="31">
        <v>0.0</v>
      </c>
      <c r="AG73" s="22" t="s">
        <v>36</v>
      </c>
      <c r="AH73" s="41">
        <v>1698187.0</v>
      </c>
      <c r="AI73" s="41">
        <v>1.8680057E7</v>
      </c>
      <c r="AJ73" s="33" t="str">
        <f t="shared" si="1"/>
        <v>&gt;1 tahun</v>
      </c>
      <c r="AK73" s="36"/>
      <c r="AL73" s="36"/>
      <c r="AM73" s="36"/>
      <c r="AN73" s="36"/>
      <c r="AO73" s="36"/>
      <c r="AP73" s="43">
        <v>11.0</v>
      </c>
    </row>
    <row r="74">
      <c r="A74" s="38">
        <f t="shared" si="2"/>
        <v>92</v>
      </c>
      <c r="B74" s="39" t="s">
        <v>192</v>
      </c>
      <c r="C74" s="39" t="s">
        <v>193</v>
      </c>
      <c r="D74" s="39" t="s">
        <v>111</v>
      </c>
      <c r="E74" s="28">
        <v>0.0</v>
      </c>
      <c r="F74" s="28">
        <v>2.0</v>
      </c>
      <c r="G74" s="28">
        <v>2.0</v>
      </c>
      <c r="H74" s="30"/>
      <c r="I74" s="30"/>
      <c r="J74" s="30"/>
      <c r="K74" s="30"/>
      <c r="L74" s="30"/>
      <c r="M74" s="30"/>
      <c r="N74" s="30"/>
      <c r="O74" s="30"/>
      <c r="P74" s="30"/>
      <c r="Q74" s="40">
        <v>1.0</v>
      </c>
      <c r="R74" s="29"/>
      <c r="S74" s="29"/>
      <c r="T74" s="29"/>
      <c r="U74" s="29"/>
      <c r="V74" s="29"/>
      <c r="W74" s="29"/>
      <c r="X74" s="29"/>
      <c r="Y74" s="29"/>
      <c r="Z74" s="28">
        <v>2.0</v>
      </c>
      <c r="AA74" s="29"/>
      <c r="AB74" s="29"/>
      <c r="AC74" s="48"/>
      <c r="AD74" s="48"/>
      <c r="AE74" s="22">
        <v>2.0</v>
      </c>
      <c r="AF74" s="31">
        <v>0.0</v>
      </c>
      <c r="AG74" s="22" t="s">
        <v>36</v>
      </c>
      <c r="AH74" s="41">
        <v>5779226.0</v>
      </c>
      <c r="AI74" s="41">
        <v>1.1558452E7</v>
      </c>
      <c r="AJ74" s="33" t="str">
        <f t="shared" si="1"/>
        <v>&gt;1 tahun</v>
      </c>
      <c r="AK74" s="36"/>
      <c r="AL74" s="36"/>
      <c r="AM74" s="36"/>
      <c r="AN74" s="36"/>
      <c r="AO74" s="36"/>
      <c r="AP74" s="43">
        <v>2.0</v>
      </c>
    </row>
    <row r="75">
      <c r="A75" s="38">
        <f t="shared" si="2"/>
        <v>93</v>
      </c>
      <c r="B75" s="39" t="s">
        <v>194</v>
      </c>
      <c r="C75" s="39" t="s">
        <v>195</v>
      </c>
      <c r="D75" s="39" t="s">
        <v>196</v>
      </c>
      <c r="E75" s="28">
        <v>0.0</v>
      </c>
      <c r="F75" s="28">
        <v>1.0</v>
      </c>
      <c r="G75" s="28">
        <v>1.0</v>
      </c>
      <c r="H75" s="30"/>
      <c r="I75" s="30"/>
      <c r="J75" s="30"/>
      <c r="K75" s="30"/>
      <c r="L75" s="30"/>
      <c r="M75" s="30"/>
      <c r="N75" s="30"/>
      <c r="O75" s="30"/>
      <c r="P75" s="30"/>
      <c r="Q75" s="40">
        <v>1.0</v>
      </c>
      <c r="R75" s="29"/>
      <c r="S75" s="29"/>
      <c r="T75" s="29"/>
      <c r="U75" s="29"/>
      <c r="V75" s="29"/>
      <c r="W75" s="29"/>
      <c r="X75" s="29"/>
      <c r="Y75" s="29"/>
      <c r="Z75" s="28">
        <v>1.0</v>
      </c>
      <c r="AA75" s="29"/>
      <c r="AB75" s="29"/>
      <c r="AC75" s="48"/>
      <c r="AD75" s="48"/>
      <c r="AE75" s="22">
        <v>1.0</v>
      </c>
      <c r="AF75" s="31">
        <v>0.0</v>
      </c>
      <c r="AG75" s="22" t="s">
        <v>36</v>
      </c>
      <c r="AH75" s="41">
        <v>1637591.0</v>
      </c>
      <c r="AI75" s="41">
        <v>1637591.0</v>
      </c>
      <c r="AJ75" s="33" t="str">
        <f t="shared" si="1"/>
        <v>&gt;1 tahun</v>
      </c>
      <c r="AK75" s="36"/>
      <c r="AL75" s="36"/>
      <c r="AM75" s="36"/>
      <c r="AN75" s="36"/>
      <c r="AO75" s="36"/>
      <c r="AP75" s="43">
        <v>1.0</v>
      </c>
    </row>
    <row r="76">
      <c r="A76" s="38">
        <f t="shared" si="2"/>
        <v>94</v>
      </c>
      <c r="B76" s="39" t="s">
        <v>197</v>
      </c>
      <c r="C76" s="39" t="s">
        <v>198</v>
      </c>
      <c r="D76" s="39" t="s">
        <v>199</v>
      </c>
      <c r="E76" s="28">
        <v>0.0</v>
      </c>
      <c r="F76" s="28">
        <v>4.0</v>
      </c>
      <c r="G76" s="28">
        <v>4.0</v>
      </c>
      <c r="H76" s="30"/>
      <c r="I76" s="30"/>
      <c r="J76" s="30"/>
      <c r="K76" s="30"/>
      <c r="L76" s="30"/>
      <c r="M76" s="30"/>
      <c r="N76" s="30"/>
      <c r="O76" s="30"/>
      <c r="P76" s="30"/>
      <c r="Q76" s="40">
        <v>3.0</v>
      </c>
      <c r="R76" s="29"/>
      <c r="S76" s="29"/>
      <c r="T76" s="29"/>
      <c r="U76" s="29"/>
      <c r="V76" s="29"/>
      <c r="W76" s="29"/>
      <c r="X76" s="29"/>
      <c r="Y76" s="29"/>
      <c r="Z76" s="28">
        <v>4.0</v>
      </c>
      <c r="AA76" s="29"/>
      <c r="AB76" s="29"/>
      <c r="AC76" s="30"/>
      <c r="AD76" s="30"/>
      <c r="AE76" s="22">
        <v>4.0</v>
      </c>
      <c r="AF76" s="31">
        <v>0.0</v>
      </c>
      <c r="AG76" s="22" t="s">
        <v>36</v>
      </c>
      <c r="AH76" s="41">
        <v>2594210.0</v>
      </c>
      <c r="AI76" s="41">
        <v>1.037684E7</v>
      </c>
      <c r="AJ76" s="33" t="str">
        <f t="shared" si="1"/>
        <v>&gt;1 tahun</v>
      </c>
      <c r="AK76" s="36"/>
      <c r="AL76" s="36"/>
      <c r="AM76" s="36"/>
      <c r="AN76" s="36"/>
      <c r="AO76" s="36"/>
      <c r="AP76" s="43">
        <v>4.0</v>
      </c>
    </row>
    <row r="77">
      <c r="A77" s="38">
        <f t="shared" si="2"/>
        <v>95</v>
      </c>
      <c r="B77" s="39" t="s">
        <v>200</v>
      </c>
      <c r="C77" s="52"/>
      <c r="D77" s="39" t="s">
        <v>201</v>
      </c>
      <c r="E77" s="49">
        <v>0.0</v>
      </c>
      <c r="F77" s="28">
        <v>2.0</v>
      </c>
      <c r="G77" s="49">
        <v>2.0</v>
      </c>
      <c r="H77" s="30"/>
      <c r="I77" s="30"/>
      <c r="J77" s="30"/>
      <c r="K77" s="30"/>
      <c r="L77" s="50"/>
      <c r="M77" s="50"/>
      <c r="N77" s="30"/>
      <c r="O77" s="30"/>
      <c r="P77" s="30"/>
      <c r="Q77" s="30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8">
        <v>2.0</v>
      </c>
      <c r="AC77" s="30"/>
      <c r="AD77" s="30"/>
      <c r="AE77" s="22">
        <v>2.0</v>
      </c>
      <c r="AF77" s="51">
        <v>0.0</v>
      </c>
      <c r="AG77" s="22" t="s">
        <v>36</v>
      </c>
      <c r="AH77" s="41">
        <v>1824359.0</v>
      </c>
      <c r="AI77" s="41">
        <v>3648718.0</v>
      </c>
      <c r="AJ77" s="33" t="str">
        <f t="shared" si="1"/>
        <v>&gt;1 tahun</v>
      </c>
      <c r="AK77" s="36"/>
      <c r="AL77" s="36"/>
      <c r="AM77" s="36"/>
      <c r="AN77" s="36"/>
      <c r="AO77" s="36"/>
      <c r="AP77" s="43">
        <v>2.0</v>
      </c>
    </row>
    <row r="78">
      <c r="A78" s="38">
        <f t="shared" si="2"/>
        <v>96</v>
      </c>
      <c r="B78" s="39" t="s">
        <v>202</v>
      </c>
      <c r="C78" s="39" t="s">
        <v>203</v>
      </c>
      <c r="D78" s="39" t="s">
        <v>204</v>
      </c>
      <c r="E78" s="49">
        <v>0.0</v>
      </c>
      <c r="F78" s="28">
        <v>7.0</v>
      </c>
      <c r="G78" s="49">
        <v>7.0</v>
      </c>
      <c r="H78" s="30"/>
      <c r="I78" s="30"/>
      <c r="J78" s="30"/>
      <c r="K78" s="30"/>
      <c r="L78" s="50"/>
      <c r="M78" s="50"/>
      <c r="N78" s="30"/>
      <c r="O78" s="30"/>
      <c r="P78" s="30"/>
      <c r="Q78" s="30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8">
        <v>7.0</v>
      </c>
      <c r="AC78" s="30"/>
      <c r="AD78" s="30"/>
      <c r="AE78" s="22">
        <v>7.0</v>
      </c>
      <c r="AF78" s="51">
        <v>0.0</v>
      </c>
      <c r="AG78" s="22" t="s">
        <v>36</v>
      </c>
      <c r="AH78" s="41">
        <v>2628047.0</v>
      </c>
      <c r="AI78" s="41">
        <v>1.8396329E7</v>
      </c>
      <c r="AJ78" s="33" t="str">
        <f t="shared" si="1"/>
        <v>&gt;1 tahun</v>
      </c>
      <c r="AK78" s="36"/>
      <c r="AL78" s="36"/>
      <c r="AM78" s="36"/>
      <c r="AN78" s="36"/>
      <c r="AO78" s="36"/>
      <c r="AP78" s="43">
        <v>7.0</v>
      </c>
    </row>
    <row r="79">
      <c r="A79" s="38">
        <f t="shared" si="2"/>
        <v>97</v>
      </c>
      <c r="B79" s="39" t="s">
        <v>205</v>
      </c>
      <c r="C79" s="39" t="s">
        <v>206</v>
      </c>
      <c r="D79" s="39" t="s">
        <v>207</v>
      </c>
      <c r="E79" s="28">
        <v>0.0</v>
      </c>
      <c r="F79" s="28">
        <v>2.0</v>
      </c>
      <c r="G79" s="28">
        <v>2.0</v>
      </c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8">
        <v>2.0</v>
      </c>
      <c r="AC79" s="30"/>
      <c r="AD79" s="30"/>
      <c r="AE79" s="22">
        <v>2.0</v>
      </c>
      <c r="AF79" s="31">
        <v>0.0</v>
      </c>
      <c r="AG79" s="22" t="s">
        <v>36</v>
      </c>
      <c r="AH79" s="41">
        <v>1094566.0</v>
      </c>
      <c r="AI79" s="41">
        <v>2189132.0</v>
      </c>
      <c r="AJ79" s="33" t="str">
        <f t="shared" si="1"/>
        <v>&gt;1 tahun</v>
      </c>
      <c r="AK79" s="36"/>
      <c r="AL79" s="36"/>
      <c r="AM79" s="36"/>
      <c r="AN79" s="36"/>
      <c r="AO79" s="36"/>
      <c r="AP79" s="43">
        <v>2.0</v>
      </c>
    </row>
    <row r="80">
      <c r="A80" s="38">
        <f t="shared" si="2"/>
        <v>98</v>
      </c>
      <c r="B80" s="54" t="s">
        <v>208</v>
      </c>
      <c r="C80" s="55"/>
      <c r="D80" s="54" t="s">
        <v>209</v>
      </c>
      <c r="E80" s="56">
        <v>0.0</v>
      </c>
      <c r="F80" s="56">
        <v>1.0</v>
      </c>
      <c r="G80" s="56">
        <v>1.0</v>
      </c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57"/>
      <c r="S80" s="58"/>
      <c r="T80" s="58"/>
      <c r="U80" s="58"/>
      <c r="V80" s="58"/>
      <c r="W80" s="58"/>
      <c r="X80" s="58"/>
      <c r="Y80" s="58"/>
      <c r="Z80" s="58"/>
      <c r="AA80" s="58"/>
      <c r="AB80" s="56">
        <v>1.0</v>
      </c>
      <c r="AC80" s="30"/>
      <c r="AD80" s="30"/>
      <c r="AE80" s="59">
        <v>1.0</v>
      </c>
      <c r="AF80" s="60">
        <v>0.0</v>
      </c>
      <c r="AG80" s="61" t="s">
        <v>36</v>
      </c>
      <c r="AH80" s="62">
        <v>1440722.0</v>
      </c>
      <c r="AI80" s="63">
        <v>1440722.0</v>
      </c>
      <c r="AJ80" s="33" t="str">
        <f t="shared" si="1"/>
        <v>&gt;1 tahun</v>
      </c>
      <c r="AK80" s="64"/>
      <c r="AL80" s="65"/>
      <c r="AM80" s="65"/>
      <c r="AN80" s="65"/>
      <c r="AO80" s="65"/>
      <c r="AP80" s="66">
        <v>1.0</v>
      </c>
    </row>
    <row r="81">
      <c r="A81" s="67"/>
      <c r="B81" s="68"/>
      <c r="C81" s="68"/>
      <c r="D81" s="68"/>
      <c r="E81" s="69"/>
      <c r="F81" s="69"/>
      <c r="G81" s="69"/>
      <c r="H81" s="30"/>
      <c r="I81" s="30"/>
      <c r="J81" s="30"/>
      <c r="K81" s="30"/>
      <c r="L81" s="30"/>
      <c r="M81" s="30"/>
      <c r="N81" s="30"/>
      <c r="O81" s="4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70"/>
      <c r="AF81" s="71"/>
      <c r="AG81" s="69"/>
      <c r="AH81" s="72"/>
      <c r="AI81" s="72"/>
      <c r="AJ81" s="33"/>
      <c r="AK81" s="73"/>
      <c r="AL81" s="73"/>
      <c r="AM81" s="73"/>
      <c r="AN81" s="73"/>
      <c r="AO81" s="73"/>
      <c r="AP81" s="74"/>
    </row>
    <row r="82">
      <c r="A82" s="67"/>
      <c r="B82" s="68"/>
      <c r="C82" s="68"/>
      <c r="D82" s="68"/>
      <c r="E82" s="69"/>
      <c r="F82" s="69"/>
      <c r="G82" s="69"/>
      <c r="H82" s="30"/>
      <c r="I82" s="30"/>
      <c r="J82" s="30"/>
      <c r="K82" s="30"/>
      <c r="L82" s="30"/>
      <c r="M82" s="30"/>
      <c r="N82" s="30"/>
      <c r="O82" s="30"/>
      <c r="P82" s="30"/>
      <c r="Q82" s="4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70"/>
      <c r="AF82" s="71"/>
      <c r="AG82" s="69"/>
      <c r="AH82" s="72"/>
      <c r="AI82" s="72"/>
      <c r="AJ82" s="33"/>
      <c r="AK82" s="73"/>
      <c r="AL82" s="73"/>
      <c r="AM82" s="73"/>
      <c r="AN82" s="73"/>
      <c r="AO82" s="73"/>
      <c r="AP82" s="74"/>
    </row>
    <row r="83">
      <c r="A83" s="67"/>
      <c r="B83" s="68"/>
      <c r="C83" s="68"/>
      <c r="D83" s="68"/>
      <c r="E83" s="69"/>
      <c r="F83" s="69"/>
      <c r="G83" s="69"/>
      <c r="H83" s="30"/>
      <c r="I83" s="30"/>
      <c r="J83" s="30"/>
      <c r="K83" s="30"/>
      <c r="L83" s="30"/>
      <c r="M83" s="30"/>
      <c r="N83" s="30"/>
      <c r="O83" s="30"/>
      <c r="P83" s="30"/>
      <c r="Q83" s="4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70"/>
      <c r="AF83" s="71"/>
      <c r="AG83" s="69"/>
      <c r="AH83" s="72"/>
      <c r="AI83" s="72"/>
      <c r="AJ83" s="33"/>
      <c r="AK83" s="73"/>
      <c r="AL83" s="73"/>
      <c r="AM83" s="73"/>
      <c r="AN83" s="73"/>
      <c r="AO83" s="73"/>
      <c r="AP83" s="74"/>
    </row>
    <row r="84">
      <c r="A84" s="67"/>
      <c r="B84" s="68"/>
      <c r="C84" s="68"/>
      <c r="D84" s="68"/>
      <c r="E84" s="69"/>
      <c r="F84" s="69"/>
      <c r="G84" s="69"/>
      <c r="H84" s="30"/>
      <c r="I84" s="30"/>
      <c r="J84" s="30"/>
      <c r="K84" s="30"/>
      <c r="L84" s="30"/>
      <c r="M84" s="30"/>
      <c r="N84" s="30"/>
      <c r="O84" s="30"/>
      <c r="P84" s="30"/>
      <c r="Q84" s="4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70"/>
      <c r="AF84" s="71"/>
      <c r="AG84" s="69"/>
      <c r="AH84" s="75"/>
      <c r="AI84" s="72"/>
      <c r="AJ84" s="33"/>
      <c r="AK84" s="73"/>
      <c r="AL84" s="73"/>
      <c r="AM84" s="73"/>
      <c r="AN84" s="73"/>
      <c r="AO84" s="73"/>
      <c r="AP84" s="74"/>
    </row>
    <row r="85">
      <c r="A85" s="67"/>
      <c r="B85" s="68"/>
      <c r="C85" s="68"/>
      <c r="D85" s="68"/>
      <c r="E85" s="69"/>
      <c r="F85" s="69"/>
      <c r="G85" s="69"/>
      <c r="H85" s="30"/>
      <c r="I85" s="30"/>
      <c r="J85" s="30"/>
      <c r="K85" s="30"/>
      <c r="L85" s="30"/>
      <c r="M85" s="30"/>
      <c r="N85" s="30"/>
      <c r="O85" s="4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70"/>
      <c r="AF85" s="71"/>
      <c r="AG85" s="69"/>
      <c r="AH85" s="72"/>
      <c r="AI85" s="72"/>
      <c r="AJ85" s="33"/>
      <c r="AK85" s="73"/>
      <c r="AL85" s="74"/>
      <c r="AM85" s="73"/>
      <c r="AN85" s="73"/>
      <c r="AO85" s="73"/>
      <c r="AP85" s="73"/>
    </row>
    <row r="86">
      <c r="A86" s="67"/>
      <c r="B86" s="68"/>
      <c r="C86" s="68"/>
      <c r="D86" s="68"/>
      <c r="E86" s="69"/>
      <c r="F86" s="69"/>
      <c r="G86" s="69"/>
      <c r="H86" s="30"/>
      <c r="I86" s="30"/>
      <c r="J86" s="30"/>
      <c r="K86" s="30"/>
      <c r="L86" s="30"/>
      <c r="M86" s="30"/>
      <c r="N86" s="30"/>
      <c r="O86" s="4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70"/>
      <c r="AF86" s="71"/>
      <c r="AG86" s="69"/>
      <c r="AH86" s="72"/>
      <c r="AI86" s="72"/>
      <c r="AJ86" s="33"/>
      <c r="AK86" s="73"/>
      <c r="AL86" s="74"/>
      <c r="AM86" s="73"/>
      <c r="AN86" s="73"/>
      <c r="AO86" s="73"/>
      <c r="AP86" s="73"/>
    </row>
    <row r="87">
      <c r="A87" s="67"/>
      <c r="B87" s="68"/>
      <c r="C87" s="68"/>
      <c r="D87" s="68"/>
      <c r="E87" s="69"/>
      <c r="F87" s="69"/>
      <c r="G87" s="69"/>
      <c r="H87" s="30"/>
      <c r="I87" s="30"/>
      <c r="J87" s="30"/>
      <c r="K87" s="30"/>
      <c r="L87" s="30"/>
      <c r="M87" s="30"/>
      <c r="N87" s="30"/>
      <c r="O87" s="4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70"/>
      <c r="AF87" s="71"/>
      <c r="AG87" s="69"/>
      <c r="AH87" s="72"/>
      <c r="AI87" s="72"/>
      <c r="AJ87" s="33"/>
      <c r="AK87" s="73"/>
      <c r="AL87" s="74"/>
      <c r="AM87" s="73"/>
      <c r="AN87" s="73"/>
      <c r="AO87" s="73"/>
      <c r="AP87" s="73"/>
    </row>
    <row r="88">
      <c r="A88" s="67"/>
      <c r="B88" s="68"/>
      <c r="C88" s="68"/>
      <c r="D88" s="68"/>
      <c r="E88" s="69"/>
      <c r="F88" s="69"/>
      <c r="G88" s="69"/>
      <c r="H88" s="30"/>
      <c r="I88" s="30"/>
      <c r="J88" s="30"/>
      <c r="K88" s="30"/>
      <c r="L88" s="30"/>
      <c r="M88" s="4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70"/>
      <c r="AF88" s="71"/>
      <c r="AG88" s="69"/>
      <c r="AH88" s="72"/>
      <c r="AI88" s="72"/>
      <c r="AJ88" s="33"/>
      <c r="AK88" s="74"/>
      <c r="AL88" s="74"/>
      <c r="AM88" s="73"/>
      <c r="AN88" s="73"/>
      <c r="AO88" s="73"/>
      <c r="AP88" s="73"/>
    </row>
    <row r="89">
      <c r="A89" s="67"/>
      <c r="B89" s="68"/>
      <c r="C89" s="68"/>
      <c r="D89" s="68"/>
      <c r="E89" s="69"/>
      <c r="F89" s="69"/>
      <c r="G89" s="69"/>
      <c r="H89" s="30"/>
      <c r="I89" s="30"/>
      <c r="J89" s="30"/>
      <c r="K89" s="30"/>
      <c r="L89" s="30"/>
      <c r="M89" s="4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70"/>
      <c r="AF89" s="71"/>
      <c r="AG89" s="69"/>
      <c r="AH89" s="72"/>
      <c r="AI89" s="72"/>
      <c r="AJ89" s="33"/>
      <c r="AK89" s="73"/>
      <c r="AL89" s="74"/>
      <c r="AM89" s="73"/>
      <c r="AN89" s="73"/>
      <c r="AO89" s="73"/>
      <c r="AP89" s="73"/>
    </row>
    <row r="90">
      <c r="A90" s="67"/>
      <c r="B90" s="68"/>
      <c r="C90" s="68"/>
      <c r="D90" s="68"/>
      <c r="E90" s="69"/>
      <c r="F90" s="69"/>
      <c r="G90" s="69"/>
      <c r="H90" s="30"/>
      <c r="I90" s="30"/>
      <c r="J90" s="30"/>
      <c r="K90" s="30"/>
      <c r="L90" s="30"/>
      <c r="M90" s="4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70"/>
      <c r="AF90" s="71"/>
      <c r="AG90" s="69"/>
      <c r="AH90" s="72"/>
      <c r="AI90" s="72"/>
      <c r="AJ90" s="33"/>
      <c r="AK90" s="73"/>
      <c r="AL90" s="74"/>
      <c r="AM90" s="73"/>
      <c r="AN90" s="73"/>
      <c r="AO90" s="73"/>
      <c r="AP90" s="73"/>
    </row>
    <row r="91">
      <c r="A91" s="67"/>
      <c r="B91" s="68"/>
      <c r="C91" s="68"/>
      <c r="D91" s="68"/>
      <c r="E91" s="69"/>
      <c r="F91" s="69"/>
      <c r="G91" s="69"/>
      <c r="H91" s="30"/>
      <c r="I91" s="30"/>
      <c r="J91" s="30"/>
      <c r="K91" s="30"/>
      <c r="L91" s="30"/>
      <c r="M91" s="4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70"/>
      <c r="AF91" s="71"/>
      <c r="AG91" s="69"/>
      <c r="AH91" s="72"/>
      <c r="AI91" s="72"/>
      <c r="AJ91" s="33"/>
      <c r="AK91" s="73"/>
      <c r="AL91" s="74"/>
      <c r="AM91" s="73"/>
      <c r="AN91" s="73"/>
      <c r="AO91" s="73"/>
      <c r="AP91" s="73"/>
    </row>
    <row r="92">
      <c r="A92" s="67"/>
      <c r="B92" s="68"/>
      <c r="C92" s="68"/>
      <c r="D92" s="68"/>
      <c r="E92" s="69"/>
      <c r="F92" s="69"/>
      <c r="G92" s="69"/>
      <c r="H92" s="30"/>
      <c r="I92" s="30"/>
      <c r="J92" s="30"/>
      <c r="K92" s="30"/>
      <c r="L92" s="30"/>
      <c r="M92" s="4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70"/>
      <c r="AF92" s="71"/>
      <c r="AG92" s="69"/>
      <c r="AH92" s="72"/>
      <c r="AI92" s="72"/>
      <c r="AJ92" s="33"/>
      <c r="AK92" s="74"/>
      <c r="AL92" s="73"/>
      <c r="AM92" s="73"/>
      <c r="AN92" s="73"/>
      <c r="AO92" s="73"/>
      <c r="AP92" s="73"/>
    </row>
    <row r="93">
      <c r="A93" s="67"/>
      <c r="B93" s="68"/>
      <c r="C93" s="68"/>
      <c r="D93" s="68"/>
      <c r="E93" s="69"/>
      <c r="F93" s="69"/>
      <c r="G93" s="69"/>
      <c r="H93" s="30"/>
      <c r="I93" s="30"/>
      <c r="J93" s="30"/>
      <c r="K93" s="30"/>
      <c r="L93" s="30"/>
      <c r="M93" s="30"/>
      <c r="N93" s="30"/>
      <c r="O93" s="30"/>
      <c r="P93" s="4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70"/>
      <c r="AF93" s="71"/>
      <c r="AG93" s="69"/>
      <c r="AH93" s="72"/>
      <c r="AI93" s="72"/>
      <c r="AJ93" s="33"/>
      <c r="AK93" s="73"/>
      <c r="AL93" s="73"/>
      <c r="AM93" s="73"/>
      <c r="AN93" s="73"/>
      <c r="AO93" s="73"/>
      <c r="AP93" s="74"/>
    </row>
    <row r="94">
      <c r="A94" s="67"/>
      <c r="B94" s="68"/>
      <c r="C94" s="68"/>
      <c r="D94" s="68"/>
      <c r="E94" s="69"/>
      <c r="F94" s="69"/>
      <c r="G94" s="69"/>
      <c r="H94" s="30"/>
      <c r="I94" s="30"/>
      <c r="J94" s="30"/>
      <c r="K94" s="30"/>
      <c r="L94" s="30"/>
      <c r="M94" s="30"/>
      <c r="N94" s="30"/>
      <c r="O94" s="30"/>
      <c r="P94" s="4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70"/>
      <c r="AF94" s="71"/>
      <c r="AG94" s="69"/>
      <c r="AH94" s="72"/>
      <c r="AI94" s="72"/>
      <c r="AJ94" s="33"/>
      <c r="AK94" s="73"/>
      <c r="AL94" s="73"/>
      <c r="AM94" s="73"/>
      <c r="AN94" s="73"/>
      <c r="AO94" s="73"/>
      <c r="AP94" s="74"/>
    </row>
    <row r="95">
      <c r="A95" s="76"/>
      <c r="B95" s="30"/>
      <c r="C95" s="30"/>
      <c r="D95" s="30"/>
      <c r="E95" s="30"/>
      <c r="F95" s="30"/>
      <c r="G95" s="69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70"/>
      <c r="AF95" s="71"/>
      <c r="AG95" s="30"/>
      <c r="AH95" s="77"/>
      <c r="AI95" s="72"/>
      <c r="AJ95" s="78"/>
      <c r="AK95" s="73"/>
      <c r="AL95" s="73"/>
      <c r="AM95" s="73"/>
      <c r="AN95" s="73"/>
      <c r="AO95" s="73"/>
      <c r="AP95" s="73"/>
    </row>
    <row r="96">
      <c r="A96" s="76"/>
      <c r="B96" s="30"/>
      <c r="C96" s="30"/>
      <c r="D96" s="30"/>
      <c r="E96" s="30"/>
      <c r="F96" s="30"/>
      <c r="G96" s="69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70"/>
      <c r="AF96" s="71"/>
      <c r="AG96" s="30"/>
      <c r="AH96" s="77"/>
      <c r="AI96" s="72"/>
      <c r="AJ96" s="78"/>
      <c r="AK96" s="73"/>
      <c r="AL96" s="73"/>
      <c r="AM96" s="73"/>
      <c r="AN96" s="73"/>
      <c r="AO96" s="73"/>
      <c r="AP96" s="73"/>
    </row>
    <row r="97">
      <c r="A97" s="76"/>
      <c r="B97" s="30"/>
      <c r="C97" s="30"/>
      <c r="D97" s="30"/>
      <c r="E97" s="30"/>
      <c r="F97" s="30"/>
      <c r="G97" s="69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70"/>
      <c r="AF97" s="71"/>
      <c r="AG97" s="30"/>
      <c r="AH97" s="77"/>
      <c r="AI97" s="72"/>
      <c r="AJ97" s="78"/>
      <c r="AK97" s="73"/>
      <c r="AL97" s="73"/>
      <c r="AM97" s="73"/>
      <c r="AN97" s="73"/>
      <c r="AO97" s="73"/>
      <c r="AP97" s="73"/>
    </row>
    <row r="98">
      <c r="A98" s="76"/>
      <c r="B98" s="30"/>
      <c r="C98" s="30"/>
      <c r="D98" s="30"/>
      <c r="E98" s="30"/>
      <c r="F98" s="30"/>
      <c r="G98" s="69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70"/>
      <c r="AF98" s="71"/>
      <c r="AG98" s="30"/>
      <c r="AH98" s="77"/>
      <c r="AI98" s="72"/>
      <c r="AJ98" s="78"/>
      <c r="AK98" s="73"/>
      <c r="AL98" s="73"/>
      <c r="AM98" s="73"/>
      <c r="AN98" s="73"/>
      <c r="AO98" s="73"/>
      <c r="AP98" s="73"/>
    </row>
    <row r="99">
      <c r="A99" s="76"/>
      <c r="B99" s="30"/>
      <c r="C99" s="30"/>
      <c r="D99" s="30"/>
      <c r="E99" s="30"/>
      <c r="F99" s="30"/>
      <c r="G99" s="69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70"/>
      <c r="AF99" s="71"/>
      <c r="AG99" s="30"/>
      <c r="AH99" s="77"/>
      <c r="AI99" s="72"/>
      <c r="AJ99" s="78"/>
      <c r="AK99" s="73"/>
      <c r="AL99" s="73"/>
      <c r="AM99" s="73"/>
      <c r="AN99" s="73"/>
      <c r="AO99" s="73"/>
      <c r="AP99" s="73"/>
    </row>
    <row r="100">
      <c r="A100" s="76"/>
      <c r="B100" s="30"/>
      <c r="C100" s="30"/>
      <c r="D100" s="30"/>
      <c r="E100" s="30"/>
      <c r="F100" s="30"/>
      <c r="G100" s="69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70"/>
      <c r="AF100" s="71"/>
      <c r="AG100" s="30"/>
      <c r="AH100" s="77"/>
      <c r="AI100" s="72"/>
      <c r="AJ100" s="78"/>
      <c r="AK100" s="73"/>
      <c r="AL100" s="73"/>
      <c r="AM100" s="73"/>
      <c r="AN100" s="73"/>
      <c r="AO100" s="73"/>
      <c r="AP100" s="73"/>
    </row>
    <row r="101">
      <c r="A101" s="76"/>
      <c r="B101" s="30"/>
      <c r="C101" s="30"/>
      <c r="D101" s="30"/>
      <c r="E101" s="30"/>
      <c r="F101" s="30"/>
      <c r="G101" s="69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70"/>
      <c r="AF101" s="71"/>
      <c r="AG101" s="30"/>
      <c r="AH101" s="77"/>
      <c r="AI101" s="72"/>
      <c r="AJ101" s="78"/>
      <c r="AK101" s="73"/>
      <c r="AL101" s="73"/>
      <c r="AM101" s="73"/>
      <c r="AN101" s="73"/>
      <c r="AO101" s="73"/>
      <c r="AP101" s="73"/>
    </row>
    <row r="102">
      <c r="A102" s="76"/>
      <c r="B102" s="30"/>
      <c r="C102" s="30"/>
      <c r="D102" s="30"/>
      <c r="E102" s="30"/>
      <c r="F102" s="30"/>
      <c r="G102" s="69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70"/>
      <c r="AF102" s="71"/>
      <c r="AG102" s="30"/>
      <c r="AH102" s="77"/>
      <c r="AI102" s="72"/>
      <c r="AJ102" s="78"/>
      <c r="AK102" s="73"/>
      <c r="AL102" s="73"/>
      <c r="AM102" s="73"/>
      <c r="AN102" s="73"/>
      <c r="AO102" s="73"/>
      <c r="AP102" s="73"/>
    </row>
    <row r="103">
      <c r="A103" s="76"/>
      <c r="B103" s="30"/>
      <c r="C103" s="30"/>
      <c r="D103" s="30"/>
      <c r="E103" s="30"/>
      <c r="F103" s="30"/>
      <c r="G103" s="69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70"/>
      <c r="AF103" s="71"/>
      <c r="AG103" s="30"/>
      <c r="AH103" s="77"/>
      <c r="AI103" s="72"/>
      <c r="AJ103" s="78"/>
      <c r="AK103" s="73"/>
      <c r="AL103" s="73"/>
      <c r="AM103" s="73"/>
      <c r="AN103" s="73"/>
      <c r="AO103" s="73"/>
      <c r="AP103" s="73"/>
    </row>
    <row r="104">
      <c r="A104" s="76"/>
      <c r="B104" s="30"/>
      <c r="C104" s="30"/>
      <c r="D104" s="30"/>
      <c r="E104" s="30"/>
      <c r="F104" s="30"/>
      <c r="G104" s="69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70"/>
      <c r="AF104" s="71"/>
      <c r="AG104" s="30"/>
      <c r="AH104" s="77"/>
      <c r="AI104" s="72"/>
      <c r="AJ104" s="78"/>
      <c r="AK104" s="73"/>
      <c r="AL104" s="73"/>
      <c r="AM104" s="73"/>
      <c r="AN104" s="73"/>
      <c r="AO104" s="73"/>
      <c r="AP104" s="73"/>
    </row>
    <row r="105">
      <c r="A105" s="76"/>
      <c r="B105" s="30"/>
      <c r="C105" s="30"/>
      <c r="D105" s="30"/>
      <c r="E105" s="30"/>
      <c r="F105" s="30"/>
      <c r="G105" s="69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70"/>
      <c r="AF105" s="71"/>
      <c r="AG105" s="30"/>
      <c r="AH105" s="77"/>
      <c r="AI105" s="72"/>
      <c r="AJ105" s="78"/>
      <c r="AK105" s="73"/>
      <c r="AL105" s="73"/>
      <c r="AM105" s="73"/>
      <c r="AN105" s="73"/>
      <c r="AO105" s="73"/>
      <c r="AP105" s="73"/>
    </row>
    <row r="106">
      <c r="A106" s="76"/>
      <c r="B106" s="30"/>
      <c r="C106" s="30"/>
      <c r="D106" s="30"/>
      <c r="E106" s="30"/>
      <c r="F106" s="30"/>
      <c r="G106" s="69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70"/>
      <c r="AF106" s="71"/>
      <c r="AG106" s="30"/>
      <c r="AH106" s="77"/>
      <c r="AI106" s="72"/>
      <c r="AJ106" s="78"/>
      <c r="AK106" s="73"/>
      <c r="AL106" s="73"/>
      <c r="AM106" s="73"/>
      <c r="AN106" s="73"/>
      <c r="AO106" s="73"/>
      <c r="AP106" s="73"/>
    </row>
    <row r="107">
      <c r="A107" s="76"/>
      <c r="B107" s="30"/>
      <c r="C107" s="30"/>
      <c r="D107" s="30"/>
      <c r="E107" s="30"/>
      <c r="F107" s="30"/>
      <c r="G107" s="69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70"/>
      <c r="AF107" s="71"/>
      <c r="AG107" s="30"/>
      <c r="AH107" s="77"/>
      <c r="AI107" s="72"/>
      <c r="AJ107" s="78"/>
      <c r="AK107" s="73"/>
      <c r="AL107" s="73"/>
      <c r="AM107" s="73"/>
      <c r="AN107" s="73"/>
      <c r="AO107" s="73"/>
      <c r="AP107" s="73"/>
    </row>
    <row r="108">
      <c r="A108" s="76"/>
      <c r="B108" s="30"/>
      <c r="C108" s="30"/>
      <c r="D108" s="30"/>
      <c r="E108" s="30"/>
      <c r="F108" s="30"/>
      <c r="G108" s="69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70"/>
      <c r="AF108" s="71"/>
      <c r="AG108" s="30"/>
      <c r="AH108" s="77"/>
      <c r="AI108" s="72"/>
      <c r="AJ108" s="78"/>
      <c r="AK108" s="73"/>
      <c r="AL108" s="73"/>
      <c r="AM108" s="73"/>
      <c r="AN108" s="73"/>
      <c r="AO108" s="73"/>
      <c r="AP108" s="73"/>
    </row>
    <row r="109">
      <c r="A109" s="76"/>
      <c r="B109" s="30"/>
      <c r="C109" s="30"/>
      <c r="D109" s="30"/>
      <c r="E109" s="30"/>
      <c r="F109" s="30"/>
      <c r="G109" s="69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70"/>
      <c r="AF109" s="71"/>
      <c r="AG109" s="30"/>
      <c r="AH109" s="77"/>
      <c r="AI109" s="72"/>
      <c r="AJ109" s="78"/>
      <c r="AK109" s="73"/>
      <c r="AL109" s="73"/>
      <c r="AM109" s="73"/>
      <c r="AN109" s="73"/>
      <c r="AO109" s="73"/>
      <c r="AP109" s="73"/>
    </row>
    <row r="110">
      <c r="A110" s="76"/>
      <c r="B110" s="30"/>
      <c r="C110" s="30"/>
      <c r="D110" s="30"/>
      <c r="E110" s="30"/>
      <c r="F110" s="30"/>
      <c r="G110" s="69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70"/>
      <c r="AF110" s="71"/>
      <c r="AG110" s="30"/>
      <c r="AH110" s="77"/>
      <c r="AI110" s="72"/>
      <c r="AJ110" s="78"/>
      <c r="AK110" s="73"/>
      <c r="AL110" s="73"/>
      <c r="AM110" s="73"/>
      <c r="AN110" s="73"/>
      <c r="AO110" s="73"/>
      <c r="AP110" s="73"/>
    </row>
    <row r="111">
      <c r="A111" s="76"/>
      <c r="B111" s="30"/>
      <c r="C111" s="30"/>
      <c r="D111" s="30"/>
      <c r="E111" s="30"/>
      <c r="F111" s="30"/>
      <c r="G111" s="69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70"/>
      <c r="AF111" s="71"/>
      <c r="AG111" s="30"/>
      <c r="AH111" s="77"/>
      <c r="AI111" s="72"/>
      <c r="AJ111" s="78"/>
      <c r="AK111" s="73"/>
      <c r="AL111" s="73"/>
      <c r="AM111" s="73"/>
      <c r="AN111" s="73"/>
      <c r="AO111" s="73"/>
      <c r="AP111" s="73"/>
    </row>
    <row r="112">
      <c r="A112" s="76"/>
      <c r="B112" s="30"/>
      <c r="C112" s="30"/>
      <c r="D112" s="30"/>
      <c r="E112" s="30"/>
      <c r="F112" s="30"/>
      <c r="G112" s="69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70"/>
      <c r="AF112" s="71"/>
      <c r="AG112" s="30"/>
      <c r="AH112" s="77"/>
      <c r="AI112" s="72"/>
      <c r="AJ112" s="78"/>
      <c r="AK112" s="73"/>
      <c r="AL112" s="73"/>
      <c r="AM112" s="73"/>
      <c r="AN112" s="73"/>
      <c r="AO112" s="73"/>
      <c r="AP112" s="73"/>
    </row>
    <row r="113">
      <c r="A113" s="76"/>
      <c r="B113" s="30"/>
      <c r="C113" s="30"/>
      <c r="D113" s="30"/>
      <c r="E113" s="30"/>
      <c r="F113" s="30"/>
      <c r="G113" s="69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70"/>
      <c r="AF113" s="71"/>
      <c r="AG113" s="30"/>
      <c r="AH113" s="77"/>
      <c r="AI113" s="72"/>
      <c r="AJ113" s="78"/>
      <c r="AK113" s="73"/>
      <c r="AL113" s="73"/>
      <c r="AM113" s="73"/>
      <c r="AN113" s="73"/>
      <c r="AO113" s="73"/>
      <c r="AP113" s="73"/>
    </row>
    <row r="114">
      <c r="A114" s="76"/>
      <c r="B114" s="30"/>
      <c r="C114" s="30"/>
      <c r="D114" s="30"/>
      <c r="E114" s="30"/>
      <c r="F114" s="30"/>
      <c r="G114" s="69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70"/>
      <c r="AF114" s="71"/>
      <c r="AG114" s="30"/>
      <c r="AH114" s="77"/>
      <c r="AI114" s="72"/>
      <c r="AJ114" s="78"/>
      <c r="AK114" s="73"/>
      <c r="AL114" s="73"/>
      <c r="AM114" s="73"/>
      <c r="AN114" s="73"/>
      <c r="AO114" s="73"/>
      <c r="AP114" s="73"/>
    </row>
    <row r="115">
      <c r="A115" s="76"/>
      <c r="B115" s="30"/>
      <c r="C115" s="30"/>
      <c r="D115" s="30"/>
      <c r="E115" s="30"/>
      <c r="F115" s="30"/>
      <c r="G115" s="69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70"/>
      <c r="AF115" s="71"/>
      <c r="AG115" s="30"/>
      <c r="AH115" s="77"/>
      <c r="AI115" s="72"/>
      <c r="AJ115" s="78"/>
      <c r="AK115" s="73"/>
      <c r="AL115" s="73"/>
      <c r="AM115" s="73"/>
      <c r="AN115" s="73"/>
      <c r="AO115" s="73"/>
      <c r="AP115" s="73"/>
    </row>
    <row r="116">
      <c r="A116" s="76"/>
      <c r="B116" s="30"/>
      <c r="C116" s="30"/>
      <c r="D116" s="30"/>
      <c r="E116" s="30"/>
      <c r="F116" s="30"/>
      <c r="G116" s="69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70"/>
      <c r="AF116" s="71"/>
      <c r="AG116" s="30"/>
      <c r="AH116" s="77"/>
      <c r="AI116" s="72"/>
      <c r="AJ116" s="78"/>
      <c r="AK116" s="73"/>
      <c r="AL116" s="73"/>
      <c r="AM116" s="73"/>
      <c r="AN116" s="73"/>
      <c r="AO116" s="73"/>
      <c r="AP116" s="73"/>
    </row>
    <row r="117">
      <c r="A117" s="76"/>
      <c r="B117" s="30"/>
      <c r="C117" s="30"/>
      <c r="D117" s="30"/>
      <c r="E117" s="30"/>
      <c r="F117" s="30"/>
      <c r="G117" s="69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70"/>
      <c r="AF117" s="71"/>
      <c r="AG117" s="30"/>
      <c r="AH117" s="77"/>
      <c r="AI117" s="72"/>
      <c r="AJ117" s="78"/>
      <c r="AK117" s="73"/>
      <c r="AL117" s="73"/>
      <c r="AM117" s="73"/>
      <c r="AN117" s="73"/>
      <c r="AO117" s="73"/>
      <c r="AP117" s="73"/>
    </row>
    <row r="118">
      <c r="A118" s="76"/>
      <c r="B118" s="30"/>
      <c r="C118" s="30"/>
      <c r="D118" s="30"/>
      <c r="E118" s="30"/>
      <c r="F118" s="30"/>
      <c r="G118" s="69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70"/>
      <c r="AF118" s="71"/>
      <c r="AG118" s="30"/>
      <c r="AH118" s="77"/>
      <c r="AI118" s="72"/>
      <c r="AJ118" s="78"/>
      <c r="AK118" s="73"/>
      <c r="AL118" s="73"/>
      <c r="AM118" s="73"/>
      <c r="AN118" s="73"/>
      <c r="AO118" s="73"/>
      <c r="AP118" s="73"/>
    </row>
    <row r="119">
      <c r="A119" s="76"/>
      <c r="B119" s="30"/>
      <c r="C119" s="30"/>
      <c r="D119" s="30"/>
      <c r="E119" s="30"/>
      <c r="F119" s="30"/>
      <c r="G119" s="69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70"/>
      <c r="AF119" s="71"/>
      <c r="AG119" s="30"/>
      <c r="AH119" s="77"/>
      <c r="AI119" s="72"/>
      <c r="AJ119" s="78"/>
      <c r="AK119" s="73"/>
      <c r="AL119" s="73"/>
      <c r="AM119" s="73"/>
      <c r="AN119" s="73"/>
      <c r="AO119" s="73"/>
      <c r="AP119" s="73"/>
    </row>
    <row r="120">
      <c r="A120" s="76"/>
      <c r="B120" s="30"/>
      <c r="C120" s="30"/>
      <c r="D120" s="30"/>
      <c r="E120" s="30"/>
      <c r="F120" s="30"/>
      <c r="G120" s="69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70"/>
      <c r="AF120" s="71"/>
      <c r="AG120" s="30"/>
      <c r="AH120" s="77"/>
      <c r="AI120" s="72"/>
      <c r="AJ120" s="78"/>
      <c r="AK120" s="73"/>
      <c r="AL120" s="73"/>
      <c r="AM120" s="73"/>
      <c r="AN120" s="73"/>
      <c r="AO120" s="73"/>
      <c r="AP120" s="73"/>
    </row>
    <row r="121">
      <c r="A121" s="76"/>
      <c r="B121" s="30"/>
      <c r="C121" s="30"/>
      <c r="D121" s="30"/>
      <c r="E121" s="30"/>
      <c r="F121" s="30"/>
      <c r="G121" s="69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70"/>
      <c r="AF121" s="71"/>
      <c r="AG121" s="30"/>
      <c r="AH121" s="77"/>
      <c r="AI121" s="72"/>
      <c r="AJ121" s="78"/>
      <c r="AK121" s="73"/>
      <c r="AL121" s="73"/>
      <c r="AM121" s="73"/>
      <c r="AN121" s="73"/>
      <c r="AO121" s="73"/>
      <c r="AP121" s="73"/>
    </row>
    <row r="122">
      <c r="A122" s="76"/>
      <c r="B122" s="30"/>
      <c r="C122" s="30"/>
      <c r="D122" s="30"/>
      <c r="E122" s="30"/>
      <c r="F122" s="30"/>
      <c r="G122" s="69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70"/>
      <c r="AF122" s="71"/>
      <c r="AG122" s="30"/>
      <c r="AH122" s="77"/>
      <c r="AI122" s="72"/>
      <c r="AJ122" s="78"/>
      <c r="AK122" s="73"/>
      <c r="AL122" s="73"/>
      <c r="AM122" s="73"/>
      <c r="AN122" s="73"/>
      <c r="AO122" s="73"/>
      <c r="AP122" s="73"/>
    </row>
    <row r="123">
      <c r="A123" s="76"/>
      <c r="B123" s="30"/>
      <c r="C123" s="30"/>
      <c r="D123" s="30"/>
      <c r="E123" s="30"/>
      <c r="F123" s="30"/>
      <c r="G123" s="69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70"/>
      <c r="AF123" s="71"/>
      <c r="AG123" s="30"/>
      <c r="AH123" s="77"/>
      <c r="AI123" s="72"/>
      <c r="AJ123" s="78"/>
      <c r="AK123" s="73"/>
      <c r="AL123" s="73"/>
      <c r="AM123" s="73"/>
      <c r="AN123" s="73"/>
      <c r="AO123" s="73"/>
      <c r="AP123" s="73"/>
    </row>
    <row r="124">
      <c r="A124" s="76"/>
      <c r="B124" s="30"/>
      <c r="C124" s="30"/>
      <c r="D124" s="30"/>
      <c r="E124" s="30"/>
      <c r="F124" s="30"/>
      <c r="G124" s="69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70"/>
      <c r="AF124" s="71"/>
      <c r="AG124" s="30"/>
      <c r="AH124" s="77"/>
      <c r="AI124" s="72"/>
      <c r="AJ124" s="78"/>
      <c r="AK124" s="73"/>
      <c r="AL124" s="73"/>
      <c r="AM124" s="73"/>
      <c r="AN124" s="73"/>
      <c r="AO124" s="73"/>
      <c r="AP124" s="73"/>
    </row>
    <row r="125">
      <c r="A125" s="76"/>
      <c r="B125" s="30"/>
      <c r="C125" s="30"/>
      <c r="D125" s="30"/>
      <c r="E125" s="30"/>
      <c r="F125" s="30"/>
      <c r="G125" s="69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70"/>
      <c r="AF125" s="71"/>
      <c r="AG125" s="30"/>
      <c r="AH125" s="77"/>
      <c r="AI125" s="72"/>
      <c r="AJ125" s="78"/>
      <c r="AK125" s="73"/>
      <c r="AL125" s="73"/>
      <c r="AM125" s="73"/>
      <c r="AN125" s="73"/>
      <c r="AO125" s="73"/>
      <c r="AP125" s="73"/>
    </row>
    <row r="126">
      <c r="A126" s="76"/>
      <c r="B126" s="30"/>
      <c r="C126" s="30"/>
      <c r="D126" s="30"/>
      <c r="E126" s="30"/>
      <c r="F126" s="30"/>
      <c r="G126" s="69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70"/>
      <c r="AF126" s="71"/>
      <c r="AG126" s="30"/>
      <c r="AH126" s="77"/>
      <c r="AI126" s="72"/>
      <c r="AJ126" s="78"/>
      <c r="AK126" s="73"/>
      <c r="AL126" s="73"/>
      <c r="AM126" s="73"/>
      <c r="AN126" s="73"/>
      <c r="AO126" s="73"/>
      <c r="AP126" s="73"/>
    </row>
    <row r="127">
      <c r="A127" s="76"/>
      <c r="B127" s="30"/>
      <c r="C127" s="30"/>
      <c r="D127" s="30"/>
      <c r="E127" s="30"/>
      <c r="F127" s="30"/>
      <c r="G127" s="69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70"/>
      <c r="AF127" s="71"/>
      <c r="AG127" s="30"/>
      <c r="AH127" s="77"/>
      <c r="AI127" s="72"/>
      <c r="AJ127" s="78"/>
      <c r="AK127" s="73"/>
      <c r="AL127" s="73"/>
      <c r="AM127" s="73"/>
      <c r="AN127" s="73"/>
      <c r="AO127" s="73"/>
      <c r="AP127" s="73"/>
    </row>
    <row r="128">
      <c r="A128" s="76"/>
      <c r="B128" s="30"/>
      <c r="C128" s="30"/>
      <c r="D128" s="30"/>
      <c r="E128" s="30"/>
      <c r="F128" s="30"/>
      <c r="G128" s="69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70"/>
      <c r="AF128" s="71"/>
      <c r="AG128" s="30"/>
      <c r="AH128" s="77"/>
      <c r="AI128" s="72"/>
      <c r="AJ128" s="78"/>
      <c r="AK128" s="73"/>
      <c r="AL128" s="73"/>
      <c r="AM128" s="73"/>
      <c r="AN128" s="73"/>
      <c r="AO128" s="73"/>
      <c r="AP128" s="73"/>
    </row>
    <row r="129">
      <c r="A129" s="76"/>
      <c r="B129" s="30"/>
      <c r="C129" s="30"/>
      <c r="D129" s="30"/>
      <c r="E129" s="30"/>
      <c r="F129" s="30"/>
      <c r="G129" s="69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70"/>
      <c r="AF129" s="71"/>
      <c r="AG129" s="30"/>
      <c r="AH129" s="77"/>
      <c r="AI129" s="72"/>
      <c r="AJ129" s="78"/>
      <c r="AK129" s="73"/>
      <c r="AL129" s="73"/>
      <c r="AM129" s="73"/>
      <c r="AN129" s="73"/>
      <c r="AO129" s="73"/>
      <c r="AP129" s="73"/>
    </row>
    <row r="130">
      <c r="A130" s="76"/>
      <c r="B130" s="30"/>
      <c r="C130" s="30"/>
      <c r="D130" s="30"/>
      <c r="E130" s="30"/>
      <c r="F130" s="30"/>
      <c r="G130" s="69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70"/>
      <c r="AF130" s="71"/>
      <c r="AG130" s="30"/>
      <c r="AH130" s="77"/>
      <c r="AI130" s="72"/>
      <c r="AJ130" s="78"/>
      <c r="AK130" s="73"/>
      <c r="AL130" s="73"/>
      <c r="AM130" s="73"/>
      <c r="AN130" s="73"/>
      <c r="AO130" s="73"/>
      <c r="AP130" s="73"/>
    </row>
    <row r="131">
      <c r="A131" s="76"/>
      <c r="B131" s="30"/>
      <c r="C131" s="30"/>
      <c r="D131" s="30"/>
      <c r="E131" s="30"/>
      <c r="F131" s="30"/>
      <c r="G131" s="69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70"/>
      <c r="AF131" s="71"/>
      <c r="AG131" s="30"/>
      <c r="AH131" s="77"/>
      <c r="AI131" s="72"/>
      <c r="AJ131" s="78"/>
      <c r="AK131" s="73"/>
      <c r="AL131" s="73"/>
      <c r="AM131" s="73"/>
      <c r="AN131" s="73"/>
      <c r="AO131" s="73"/>
      <c r="AP131" s="73"/>
    </row>
    <row r="132">
      <c r="A132" s="76"/>
      <c r="B132" s="30"/>
      <c r="C132" s="30"/>
      <c r="D132" s="30"/>
      <c r="E132" s="30"/>
      <c r="F132" s="30"/>
      <c r="G132" s="69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70"/>
      <c r="AF132" s="71"/>
      <c r="AG132" s="30"/>
      <c r="AH132" s="77"/>
      <c r="AI132" s="72"/>
      <c r="AJ132" s="78"/>
      <c r="AK132" s="73"/>
      <c r="AL132" s="73"/>
      <c r="AM132" s="73"/>
      <c r="AN132" s="73"/>
      <c r="AO132" s="73"/>
      <c r="AP132" s="73"/>
    </row>
    <row r="133">
      <c r="A133" s="76"/>
      <c r="B133" s="30"/>
      <c r="C133" s="30"/>
      <c r="D133" s="30"/>
      <c r="E133" s="30"/>
      <c r="F133" s="30"/>
      <c r="G133" s="69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70"/>
      <c r="AF133" s="71"/>
      <c r="AG133" s="30"/>
      <c r="AH133" s="77"/>
      <c r="AI133" s="72"/>
      <c r="AJ133" s="78"/>
      <c r="AK133" s="73"/>
      <c r="AL133" s="73"/>
      <c r="AM133" s="73"/>
      <c r="AN133" s="73"/>
      <c r="AO133" s="73"/>
      <c r="AP133" s="73"/>
    </row>
    <row r="134">
      <c r="A134" s="76"/>
      <c r="B134" s="30"/>
      <c r="C134" s="30"/>
      <c r="D134" s="30"/>
      <c r="E134" s="30"/>
      <c r="F134" s="30"/>
      <c r="G134" s="69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70"/>
      <c r="AF134" s="71"/>
      <c r="AG134" s="30"/>
      <c r="AH134" s="77"/>
      <c r="AI134" s="72"/>
      <c r="AJ134" s="78"/>
      <c r="AK134" s="73"/>
      <c r="AL134" s="73"/>
      <c r="AM134" s="73"/>
      <c r="AN134" s="73"/>
      <c r="AO134" s="73"/>
      <c r="AP134" s="73"/>
    </row>
    <row r="135">
      <c r="A135" s="76"/>
      <c r="B135" s="30"/>
      <c r="C135" s="30"/>
      <c r="D135" s="30"/>
      <c r="E135" s="30"/>
      <c r="F135" s="30"/>
      <c r="G135" s="69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70"/>
      <c r="AF135" s="71"/>
      <c r="AG135" s="30"/>
      <c r="AH135" s="77"/>
      <c r="AI135" s="72"/>
      <c r="AJ135" s="78"/>
      <c r="AK135" s="73"/>
      <c r="AL135" s="73"/>
      <c r="AM135" s="73"/>
      <c r="AN135" s="73"/>
      <c r="AO135" s="73"/>
      <c r="AP135" s="73"/>
    </row>
    <row r="136">
      <c r="A136" s="76"/>
      <c r="B136" s="30"/>
      <c r="C136" s="30"/>
      <c r="D136" s="30"/>
      <c r="E136" s="30"/>
      <c r="F136" s="30"/>
      <c r="G136" s="69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70"/>
      <c r="AF136" s="71"/>
      <c r="AG136" s="30"/>
      <c r="AH136" s="78"/>
      <c r="AI136" s="72"/>
      <c r="AJ136" s="78"/>
      <c r="AK136" s="73"/>
      <c r="AL136" s="73"/>
      <c r="AM136" s="73"/>
      <c r="AN136" s="73"/>
      <c r="AO136" s="73"/>
      <c r="AP136" s="73"/>
    </row>
    <row r="137">
      <c r="A137" s="76"/>
      <c r="B137" s="30"/>
      <c r="C137" s="30"/>
      <c r="D137" s="30"/>
      <c r="E137" s="30"/>
      <c r="F137" s="30"/>
      <c r="G137" s="69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70"/>
      <c r="AF137" s="71"/>
      <c r="AG137" s="30"/>
      <c r="AH137" s="78"/>
      <c r="AI137" s="72"/>
      <c r="AJ137" s="78"/>
      <c r="AK137" s="73"/>
      <c r="AL137" s="73"/>
      <c r="AM137" s="73"/>
      <c r="AN137" s="73"/>
      <c r="AO137" s="73"/>
      <c r="AP137" s="73"/>
    </row>
    <row r="138">
      <c r="A138" s="76"/>
      <c r="B138" s="30"/>
      <c r="C138" s="30"/>
      <c r="D138" s="30"/>
      <c r="E138" s="30"/>
      <c r="F138" s="30"/>
      <c r="G138" s="69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70"/>
      <c r="AF138" s="71"/>
      <c r="AG138" s="30"/>
      <c r="AH138" s="78"/>
      <c r="AI138" s="72"/>
      <c r="AJ138" s="78"/>
      <c r="AK138" s="73"/>
      <c r="AL138" s="73"/>
      <c r="AM138" s="73"/>
      <c r="AN138" s="73"/>
      <c r="AO138" s="73"/>
      <c r="AP138" s="73"/>
    </row>
    <row r="139">
      <c r="A139" s="76"/>
      <c r="B139" s="30"/>
      <c r="C139" s="30"/>
      <c r="D139" s="30"/>
      <c r="E139" s="30"/>
      <c r="F139" s="30"/>
      <c r="G139" s="69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70"/>
      <c r="AF139" s="71"/>
      <c r="AG139" s="30"/>
      <c r="AH139" s="78"/>
      <c r="AI139" s="72"/>
      <c r="AJ139" s="78"/>
      <c r="AK139" s="73"/>
      <c r="AL139" s="73"/>
      <c r="AM139" s="73"/>
      <c r="AN139" s="73"/>
      <c r="AO139" s="73"/>
      <c r="AP139" s="73"/>
    </row>
    <row r="140">
      <c r="A140" s="76"/>
      <c r="B140" s="30"/>
      <c r="C140" s="30"/>
      <c r="D140" s="30"/>
      <c r="E140" s="30"/>
      <c r="F140" s="30"/>
      <c r="G140" s="69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70"/>
      <c r="AF140" s="71"/>
      <c r="AG140" s="30"/>
      <c r="AH140" s="78"/>
      <c r="AI140" s="72"/>
      <c r="AJ140" s="78"/>
      <c r="AK140" s="73"/>
      <c r="AL140" s="73"/>
      <c r="AM140" s="73"/>
      <c r="AN140" s="73"/>
      <c r="AO140" s="73"/>
      <c r="AP140" s="73"/>
    </row>
    <row r="141">
      <c r="A141" s="76"/>
      <c r="B141" s="30"/>
      <c r="C141" s="30"/>
      <c r="D141" s="30"/>
      <c r="E141" s="30"/>
      <c r="F141" s="30"/>
      <c r="G141" s="69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70"/>
      <c r="AF141" s="71"/>
      <c r="AG141" s="30"/>
      <c r="AH141" s="77"/>
      <c r="AI141" s="72"/>
      <c r="AJ141" s="78"/>
      <c r="AK141" s="73"/>
      <c r="AL141" s="73"/>
      <c r="AM141" s="73"/>
      <c r="AN141" s="73"/>
      <c r="AO141" s="73"/>
      <c r="AP141" s="73"/>
    </row>
    <row r="142">
      <c r="A142" s="76"/>
      <c r="B142" s="30"/>
      <c r="C142" s="30"/>
      <c r="D142" s="30"/>
      <c r="E142" s="30"/>
      <c r="F142" s="30"/>
      <c r="G142" s="69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70"/>
      <c r="AF142" s="71"/>
      <c r="AG142" s="30"/>
      <c r="AH142" s="77"/>
      <c r="AI142" s="72"/>
      <c r="AJ142" s="78"/>
      <c r="AK142" s="73"/>
      <c r="AL142" s="73"/>
      <c r="AM142" s="73"/>
      <c r="AN142" s="73"/>
      <c r="AO142" s="73"/>
      <c r="AP142" s="73"/>
    </row>
    <row r="143">
      <c r="A143" s="76"/>
      <c r="B143" s="30"/>
      <c r="C143" s="30"/>
      <c r="D143" s="30"/>
      <c r="E143" s="30"/>
      <c r="F143" s="30"/>
      <c r="G143" s="69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70"/>
      <c r="AF143" s="71"/>
      <c r="AG143" s="30"/>
      <c r="AH143" s="77"/>
      <c r="AI143" s="72"/>
      <c r="AJ143" s="78"/>
      <c r="AK143" s="73"/>
      <c r="AL143" s="73"/>
      <c r="AM143" s="73"/>
      <c r="AN143" s="73"/>
      <c r="AO143" s="73"/>
      <c r="AP143" s="73"/>
    </row>
    <row r="144">
      <c r="A144" s="76"/>
      <c r="B144" s="30"/>
      <c r="C144" s="30"/>
      <c r="D144" s="30"/>
      <c r="E144" s="30"/>
      <c r="F144" s="30"/>
      <c r="G144" s="69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70"/>
      <c r="AF144" s="71"/>
      <c r="AG144" s="30"/>
      <c r="AH144" s="77"/>
      <c r="AI144" s="72"/>
      <c r="AJ144" s="78"/>
      <c r="AK144" s="73"/>
      <c r="AL144" s="73"/>
      <c r="AM144" s="73"/>
      <c r="AN144" s="73"/>
      <c r="AO144" s="73"/>
      <c r="AP144" s="73"/>
    </row>
    <row r="145">
      <c r="A145" s="76"/>
      <c r="B145" s="30"/>
      <c r="C145" s="30"/>
      <c r="D145" s="30"/>
      <c r="E145" s="30"/>
      <c r="F145" s="30"/>
      <c r="G145" s="69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70"/>
      <c r="AF145" s="71"/>
      <c r="AG145" s="30"/>
      <c r="AH145" s="77"/>
      <c r="AI145" s="72"/>
      <c r="AJ145" s="78"/>
      <c r="AK145" s="73"/>
      <c r="AL145" s="73"/>
      <c r="AM145" s="73"/>
      <c r="AN145" s="73"/>
      <c r="AO145" s="73"/>
      <c r="AP145" s="73"/>
    </row>
    <row r="146">
      <c r="A146" s="76"/>
      <c r="B146" s="30"/>
      <c r="C146" s="30"/>
      <c r="D146" s="30"/>
      <c r="E146" s="30"/>
      <c r="F146" s="30"/>
      <c r="G146" s="69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70"/>
      <c r="AF146" s="71"/>
      <c r="AG146" s="30"/>
      <c r="AH146" s="77"/>
      <c r="AI146" s="72"/>
      <c r="AJ146" s="78"/>
      <c r="AK146" s="73"/>
      <c r="AL146" s="73"/>
      <c r="AM146" s="73"/>
      <c r="AN146" s="73"/>
      <c r="AO146" s="73"/>
      <c r="AP146" s="73"/>
    </row>
    <row r="147">
      <c r="A147" s="76"/>
      <c r="B147" s="30"/>
      <c r="C147" s="30"/>
      <c r="D147" s="30"/>
      <c r="E147" s="30"/>
      <c r="F147" s="30"/>
      <c r="G147" s="69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70"/>
      <c r="AF147" s="71"/>
      <c r="AG147" s="30"/>
      <c r="AH147" s="77"/>
      <c r="AI147" s="72"/>
      <c r="AJ147" s="78"/>
      <c r="AK147" s="73"/>
      <c r="AL147" s="73"/>
      <c r="AM147" s="73"/>
      <c r="AN147" s="73"/>
      <c r="AO147" s="73"/>
      <c r="AP147" s="73"/>
    </row>
    <row r="148">
      <c r="A148" s="76"/>
      <c r="B148" s="30"/>
      <c r="C148" s="30"/>
      <c r="D148" s="30"/>
      <c r="E148" s="30"/>
      <c r="F148" s="30"/>
      <c r="G148" s="69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70"/>
      <c r="AF148" s="71"/>
      <c r="AG148" s="30"/>
      <c r="AH148" s="77"/>
      <c r="AI148" s="72"/>
      <c r="AJ148" s="78"/>
      <c r="AK148" s="73"/>
      <c r="AL148" s="73"/>
      <c r="AM148" s="73"/>
      <c r="AN148" s="73"/>
      <c r="AO148" s="73"/>
      <c r="AP148" s="73"/>
    </row>
    <row r="149">
      <c r="A149" s="76"/>
      <c r="B149" s="30"/>
      <c r="C149" s="30"/>
      <c r="D149" s="30"/>
      <c r="E149" s="30"/>
      <c r="F149" s="30"/>
      <c r="G149" s="69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70"/>
      <c r="AF149" s="71"/>
      <c r="AG149" s="30"/>
      <c r="AH149" s="77"/>
      <c r="AI149" s="72"/>
      <c r="AJ149" s="78"/>
      <c r="AK149" s="73"/>
      <c r="AL149" s="73"/>
      <c r="AM149" s="73"/>
      <c r="AN149" s="73"/>
      <c r="AO149" s="73"/>
      <c r="AP149" s="73"/>
    </row>
    <row r="150">
      <c r="A150" s="76"/>
      <c r="B150" s="30"/>
      <c r="C150" s="30"/>
      <c r="D150" s="30"/>
      <c r="E150" s="30"/>
      <c r="F150" s="30"/>
      <c r="G150" s="69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70"/>
      <c r="AF150" s="71"/>
      <c r="AG150" s="30"/>
      <c r="AH150" s="77"/>
      <c r="AI150" s="72"/>
      <c r="AJ150" s="78"/>
      <c r="AK150" s="73"/>
      <c r="AL150" s="73"/>
      <c r="AM150" s="73"/>
      <c r="AN150" s="73"/>
      <c r="AO150" s="73"/>
      <c r="AP150" s="73"/>
    </row>
    <row r="151">
      <c r="A151" s="76"/>
      <c r="B151" s="30"/>
      <c r="C151" s="30"/>
      <c r="D151" s="30"/>
      <c r="E151" s="30"/>
      <c r="F151" s="30"/>
      <c r="G151" s="69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70"/>
      <c r="AF151" s="71"/>
      <c r="AG151" s="30"/>
      <c r="AH151" s="77"/>
      <c r="AI151" s="72"/>
      <c r="AJ151" s="78"/>
      <c r="AK151" s="73"/>
      <c r="AL151" s="73"/>
      <c r="AM151" s="73"/>
      <c r="AN151" s="73"/>
      <c r="AO151" s="73"/>
      <c r="AP151" s="73"/>
    </row>
    <row r="152">
      <c r="A152" s="76"/>
      <c r="B152" s="30"/>
      <c r="C152" s="30"/>
      <c r="D152" s="30"/>
      <c r="E152" s="30"/>
      <c r="F152" s="30"/>
      <c r="G152" s="69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70"/>
      <c r="AF152" s="71"/>
      <c r="AG152" s="30"/>
      <c r="AH152" s="77"/>
      <c r="AI152" s="72"/>
      <c r="AJ152" s="78"/>
      <c r="AK152" s="73"/>
      <c r="AL152" s="73"/>
      <c r="AM152" s="73"/>
      <c r="AN152" s="73"/>
      <c r="AO152" s="73"/>
      <c r="AP152" s="73"/>
    </row>
    <row r="153">
      <c r="A153" s="76"/>
      <c r="B153" s="30"/>
      <c r="C153" s="30"/>
      <c r="D153" s="30"/>
      <c r="E153" s="30"/>
      <c r="F153" s="30"/>
      <c r="G153" s="69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70"/>
      <c r="AF153" s="71"/>
      <c r="AG153" s="30"/>
      <c r="AH153" s="77"/>
      <c r="AI153" s="72"/>
      <c r="AJ153" s="78"/>
      <c r="AK153" s="73"/>
      <c r="AL153" s="73"/>
      <c r="AM153" s="73"/>
      <c r="AN153" s="73"/>
      <c r="AO153" s="73"/>
      <c r="AP153" s="73"/>
    </row>
    <row r="154">
      <c r="A154" s="76"/>
      <c r="B154" s="30"/>
      <c r="C154" s="30"/>
      <c r="D154" s="30"/>
      <c r="E154" s="30"/>
      <c r="F154" s="30"/>
      <c r="G154" s="69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70"/>
      <c r="AF154" s="71"/>
      <c r="AG154" s="30"/>
      <c r="AH154" s="77"/>
      <c r="AI154" s="72"/>
      <c r="AJ154" s="78"/>
      <c r="AK154" s="73"/>
      <c r="AL154" s="73"/>
      <c r="AM154" s="73"/>
      <c r="AN154" s="73"/>
      <c r="AO154" s="73"/>
      <c r="AP154" s="73"/>
    </row>
    <row r="155">
      <c r="A155" s="76"/>
      <c r="B155" s="30"/>
      <c r="C155" s="30"/>
      <c r="D155" s="30"/>
      <c r="E155" s="30"/>
      <c r="F155" s="30"/>
      <c r="G155" s="69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70"/>
      <c r="AF155" s="71"/>
      <c r="AG155" s="30"/>
      <c r="AH155" s="77"/>
      <c r="AI155" s="72"/>
      <c r="AJ155" s="78"/>
      <c r="AK155" s="73"/>
      <c r="AL155" s="73"/>
      <c r="AM155" s="73"/>
      <c r="AN155" s="73"/>
      <c r="AO155" s="73"/>
      <c r="AP155" s="73"/>
    </row>
    <row r="156">
      <c r="A156" s="76"/>
      <c r="B156" s="30"/>
      <c r="C156" s="30"/>
      <c r="D156" s="30"/>
      <c r="E156" s="30"/>
      <c r="F156" s="30"/>
      <c r="G156" s="69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70"/>
      <c r="AF156" s="71"/>
      <c r="AG156" s="30"/>
      <c r="AH156" s="77"/>
      <c r="AI156" s="72"/>
      <c r="AJ156" s="78"/>
      <c r="AK156" s="73"/>
      <c r="AL156" s="73"/>
      <c r="AM156" s="73"/>
      <c r="AN156" s="73"/>
      <c r="AO156" s="73"/>
      <c r="AP156" s="73"/>
    </row>
    <row r="157">
      <c r="A157" s="76"/>
      <c r="B157" s="30"/>
      <c r="C157" s="30"/>
      <c r="D157" s="30"/>
      <c r="E157" s="30"/>
      <c r="F157" s="30"/>
      <c r="G157" s="69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70"/>
      <c r="AF157" s="71"/>
      <c r="AG157" s="30"/>
      <c r="AH157" s="77"/>
      <c r="AI157" s="72"/>
      <c r="AJ157" s="78"/>
      <c r="AK157" s="73"/>
      <c r="AL157" s="73"/>
      <c r="AM157" s="73"/>
      <c r="AN157" s="73"/>
      <c r="AO157" s="73"/>
      <c r="AP157" s="73"/>
    </row>
    <row r="158">
      <c r="A158" s="76"/>
      <c r="B158" s="30"/>
      <c r="C158" s="30"/>
      <c r="D158" s="30"/>
      <c r="E158" s="30"/>
      <c r="F158" s="30"/>
      <c r="G158" s="69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70"/>
      <c r="AF158" s="71"/>
      <c r="AG158" s="30"/>
      <c r="AH158" s="78"/>
      <c r="AI158" s="72"/>
      <c r="AJ158" s="78"/>
      <c r="AK158" s="73"/>
      <c r="AL158" s="73"/>
      <c r="AM158" s="73"/>
      <c r="AN158" s="73"/>
      <c r="AO158" s="73"/>
      <c r="AP158" s="73"/>
    </row>
    <row r="159">
      <c r="A159" s="76"/>
      <c r="B159" s="30"/>
      <c r="C159" s="30"/>
      <c r="D159" s="30"/>
      <c r="E159" s="30"/>
      <c r="F159" s="30"/>
      <c r="G159" s="69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70"/>
      <c r="AF159" s="71"/>
      <c r="AG159" s="30"/>
      <c r="AH159" s="77"/>
      <c r="AI159" s="72"/>
      <c r="AJ159" s="78"/>
      <c r="AK159" s="73"/>
      <c r="AL159" s="73"/>
      <c r="AM159" s="73"/>
      <c r="AN159" s="73"/>
      <c r="AO159" s="73"/>
      <c r="AP159" s="73"/>
    </row>
    <row r="160">
      <c r="A160" s="76"/>
      <c r="B160" s="30"/>
      <c r="C160" s="30"/>
      <c r="D160" s="30"/>
      <c r="E160" s="30"/>
      <c r="F160" s="30"/>
      <c r="G160" s="69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70"/>
      <c r="AF160" s="71"/>
      <c r="AG160" s="30"/>
      <c r="AH160" s="77"/>
      <c r="AI160" s="72"/>
      <c r="AJ160" s="78"/>
      <c r="AK160" s="73"/>
      <c r="AL160" s="73"/>
      <c r="AM160" s="73"/>
      <c r="AN160" s="73"/>
      <c r="AO160" s="73"/>
      <c r="AP160" s="73"/>
    </row>
    <row r="161">
      <c r="A161" s="76"/>
      <c r="B161" s="30"/>
      <c r="C161" s="30"/>
      <c r="D161" s="30"/>
      <c r="E161" s="30"/>
      <c r="F161" s="30"/>
      <c r="G161" s="69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70"/>
      <c r="AF161" s="71"/>
      <c r="AG161" s="30"/>
      <c r="AH161" s="77"/>
      <c r="AI161" s="72"/>
      <c r="AJ161" s="78"/>
      <c r="AK161" s="73"/>
      <c r="AL161" s="73"/>
      <c r="AM161" s="73"/>
      <c r="AN161" s="73"/>
      <c r="AO161" s="73"/>
      <c r="AP161" s="73"/>
    </row>
    <row r="162">
      <c r="A162" s="76"/>
      <c r="B162" s="30"/>
      <c r="C162" s="30"/>
      <c r="D162" s="30"/>
      <c r="E162" s="30"/>
      <c r="F162" s="30"/>
      <c r="G162" s="69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70"/>
      <c r="AF162" s="71"/>
      <c r="AG162" s="30"/>
      <c r="AH162" s="77"/>
      <c r="AI162" s="72"/>
      <c r="AJ162" s="78"/>
      <c r="AK162" s="73"/>
      <c r="AL162" s="73"/>
      <c r="AM162" s="73"/>
      <c r="AN162" s="73"/>
      <c r="AO162" s="73"/>
      <c r="AP162" s="73"/>
    </row>
    <row r="163">
      <c r="A163" s="76"/>
      <c r="B163" s="30"/>
      <c r="C163" s="30"/>
      <c r="D163" s="30"/>
      <c r="E163" s="30"/>
      <c r="F163" s="30"/>
      <c r="G163" s="69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70"/>
      <c r="AF163" s="71"/>
      <c r="AG163" s="30"/>
      <c r="AH163" s="78"/>
      <c r="AI163" s="72"/>
      <c r="AJ163" s="78"/>
      <c r="AK163" s="73"/>
      <c r="AL163" s="73"/>
      <c r="AM163" s="73"/>
      <c r="AN163" s="73"/>
      <c r="AO163" s="73"/>
      <c r="AP163" s="73"/>
    </row>
    <row r="164">
      <c r="A164" s="76"/>
      <c r="B164" s="30"/>
      <c r="C164" s="30"/>
      <c r="D164" s="30"/>
      <c r="E164" s="30"/>
      <c r="F164" s="30"/>
      <c r="G164" s="69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70"/>
      <c r="AF164" s="71"/>
      <c r="AG164" s="30"/>
      <c r="AH164" s="77"/>
      <c r="AI164" s="72"/>
      <c r="AJ164" s="78"/>
      <c r="AK164" s="73"/>
      <c r="AL164" s="73"/>
      <c r="AM164" s="73"/>
      <c r="AN164" s="73"/>
      <c r="AO164" s="73"/>
      <c r="AP164" s="73"/>
    </row>
    <row r="165">
      <c r="A165" s="76"/>
      <c r="B165" s="30"/>
      <c r="C165" s="30"/>
      <c r="D165" s="30"/>
      <c r="E165" s="30"/>
      <c r="F165" s="30"/>
      <c r="G165" s="69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70"/>
      <c r="AF165" s="71"/>
      <c r="AG165" s="30"/>
      <c r="AH165" s="77"/>
      <c r="AI165" s="72"/>
      <c r="AJ165" s="78"/>
      <c r="AK165" s="73"/>
      <c r="AL165" s="73"/>
      <c r="AM165" s="73"/>
      <c r="AN165" s="73"/>
      <c r="AO165" s="73"/>
      <c r="AP165" s="73"/>
    </row>
    <row r="166">
      <c r="A166" s="76"/>
      <c r="B166" s="30"/>
      <c r="C166" s="30"/>
      <c r="D166" s="30"/>
      <c r="E166" s="30"/>
      <c r="F166" s="30"/>
      <c r="G166" s="69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70"/>
      <c r="AF166" s="71"/>
      <c r="AG166" s="30"/>
      <c r="AH166" s="77"/>
      <c r="AI166" s="72"/>
      <c r="AJ166" s="78"/>
      <c r="AK166" s="73"/>
      <c r="AL166" s="73"/>
      <c r="AM166" s="73"/>
      <c r="AN166" s="73"/>
      <c r="AO166" s="73"/>
      <c r="AP166" s="73"/>
    </row>
    <row r="167">
      <c r="A167" s="76"/>
      <c r="B167" s="30"/>
      <c r="C167" s="30"/>
      <c r="D167" s="30"/>
      <c r="E167" s="30"/>
      <c r="F167" s="30"/>
      <c r="G167" s="69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70"/>
      <c r="AF167" s="71"/>
      <c r="AG167" s="30"/>
      <c r="AH167" s="77"/>
      <c r="AI167" s="72"/>
      <c r="AJ167" s="78"/>
      <c r="AK167" s="73"/>
      <c r="AL167" s="73"/>
      <c r="AM167" s="73"/>
      <c r="AN167" s="73"/>
      <c r="AO167" s="73"/>
      <c r="AP167" s="73"/>
    </row>
    <row r="168">
      <c r="A168" s="76"/>
      <c r="B168" s="30"/>
      <c r="C168" s="30"/>
      <c r="D168" s="30"/>
      <c r="E168" s="30"/>
      <c r="F168" s="30"/>
      <c r="G168" s="69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70"/>
      <c r="AF168" s="71"/>
      <c r="AG168" s="30"/>
      <c r="AH168" s="77"/>
      <c r="AI168" s="72"/>
      <c r="AJ168" s="78"/>
      <c r="AK168" s="73"/>
      <c r="AL168" s="73"/>
      <c r="AM168" s="73"/>
      <c r="AN168" s="73"/>
      <c r="AO168" s="73"/>
      <c r="AP168" s="73"/>
    </row>
    <row r="169">
      <c r="A169" s="76"/>
      <c r="B169" s="30"/>
      <c r="C169" s="30"/>
      <c r="D169" s="30"/>
      <c r="E169" s="30"/>
      <c r="F169" s="30"/>
      <c r="G169" s="69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70"/>
      <c r="AF169" s="71"/>
      <c r="AG169" s="30"/>
      <c r="AH169" s="77"/>
      <c r="AI169" s="72"/>
      <c r="AJ169" s="78"/>
      <c r="AK169" s="73"/>
      <c r="AL169" s="73"/>
      <c r="AM169" s="73"/>
      <c r="AN169" s="73"/>
      <c r="AO169" s="73"/>
      <c r="AP169" s="73"/>
    </row>
    <row r="170">
      <c r="A170" s="76"/>
      <c r="B170" s="30"/>
      <c r="C170" s="30"/>
      <c r="D170" s="30"/>
      <c r="E170" s="30"/>
      <c r="F170" s="30"/>
      <c r="G170" s="69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70"/>
      <c r="AF170" s="71"/>
      <c r="AG170" s="30"/>
      <c r="AH170" s="77"/>
      <c r="AI170" s="72"/>
      <c r="AJ170" s="78"/>
      <c r="AK170" s="73"/>
      <c r="AL170" s="73"/>
      <c r="AM170" s="73"/>
      <c r="AN170" s="73"/>
      <c r="AO170" s="73"/>
      <c r="AP170" s="73"/>
    </row>
    <row r="171">
      <c r="A171" s="76"/>
      <c r="B171" s="30"/>
      <c r="C171" s="30"/>
      <c r="D171" s="30"/>
      <c r="E171" s="30"/>
      <c r="F171" s="30"/>
      <c r="G171" s="69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70"/>
      <c r="AF171" s="71"/>
      <c r="AG171" s="30"/>
      <c r="AH171" s="78"/>
      <c r="AI171" s="72"/>
      <c r="AJ171" s="78"/>
      <c r="AK171" s="73"/>
      <c r="AL171" s="73"/>
      <c r="AM171" s="73"/>
      <c r="AN171" s="73"/>
      <c r="AO171" s="73"/>
      <c r="AP171" s="73"/>
    </row>
    <row r="172">
      <c r="A172" s="76"/>
      <c r="B172" s="30"/>
      <c r="C172" s="30"/>
      <c r="D172" s="30"/>
      <c r="E172" s="30"/>
      <c r="F172" s="30"/>
      <c r="G172" s="69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70"/>
      <c r="AF172" s="71"/>
      <c r="AG172" s="30"/>
      <c r="AH172" s="77"/>
      <c r="AI172" s="72"/>
      <c r="AJ172" s="78"/>
      <c r="AK172" s="73"/>
      <c r="AL172" s="73"/>
      <c r="AM172" s="73"/>
      <c r="AN172" s="73"/>
      <c r="AO172" s="73"/>
      <c r="AP172" s="73"/>
    </row>
    <row r="173">
      <c r="A173" s="76"/>
      <c r="B173" s="30"/>
      <c r="C173" s="30"/>
      <c r="D173" s="30"/>
      <c r="E173" s="30"/>
      <c r="F173" s="30"/>
      <c r="G173" s="69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70"/>
      <c r="AF173" s="71"/>
      <c r="AG173" s="30"/>
      <c r="AH173" s="77"/>
      <c r="AI173" s="72"/>
      <c r="AJ173" s="78"/>
      <c r="AK173" s="73"/>
      <c r="AL173" s="73"/>
      <c r="AM173" s="73"/>
      <c r="AN173" s="73"/>
      <c r="AO173" s="73"/>
      <c r="AP173" s="73"/>
    </row>
    <row r="174">
      <c r="A174" s="76"/>
      <c r="B174" s="30"/>
      <c r="C174" s="30"/>
      <c r="D174" s="30"/>
      <c r="E174" s="30"/>
      <c r="F174" s="30"/>
      <c r="G174" s="69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70"/>
      <c r="AF174" s="71"/>
      <c r="AG174" s="30"/>
      <c r="AH174" s="77"/>
      <c r="AI174" s="72"/>
      <c r="AJ174" s="78"/>
      <c r="AK174" s="73"/>
      <c r="AL174" s="73"/>
      <c r="AM174" s="73"/>
      <c r="AN174" s="73"/>
      <c r="AO174" s="73"/>
      <c r="AP174" s="73"/>
    </row>
    <row r="175">
      <c r="A175" s="76"/>
      <c r="B175" s="30"/>
      <c r="C175" s="30"/>
      <c r="D175" s="30"/>
      <c r="E175" s="30"/>
      <c r="F175" s="30"/>
      <c r="G175" s="69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70"/>
      <c r="AF175" s="71"/>
      <c r="AG175" s="30"/>
      <c r="AH175" s="77"/>
      <c r="AI175" s="72"/>
      <c r="AJ175" s="78"/>
      <c r="AK175" s="73"/>
      <c r="AL175" s="73"/>
      <c r="AM175" s="73"/>
      <c r="AN175" s="73"/>
      <c r="AO175" s="73"/>
      <c r="AP175" s="73"/>
    </row>
    <row r="176">
      <c r="A176" s="76"/>
      <c r="B176" s="30"/>
      <c r="C176" s="30"/>
      <c r="D176" s="30"/>
      <c r="E176" s="30"/>
      <c r="F176" s="30"/>
      <c r="G176" s="69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70"/>
      <c r="AF176" s="71"/>
      <c r="AG176" s="30"/>
      <c r="AH176" s="78"/>
      <c r="AI176" s="72"/>
      <c r="AJ176" s="78"/>
      <c r="AK176" s="73"/>
      <c r="AL176" s="73"/>
      <c r="AM176" s="73"/>
      <c r="AN176" s="73"/>
      <c r="AO176" s="73"/>
      <c r="AP176" s="73"/>
    </row>
    <row r="177">
      <c r="A177" s="76"/>
      <c r="B177" s="30"/>
      <c r="C177" s="30"/>
      <c r="D177" s="30"/>
      <c r="E177" s="30"/>
      <c r="F177" s="30"/>
      <c r="G177" s="69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70"/>
      <c r="AF177" s="71"/>
      <c r="AG177" s="30"/>
      <c r="AH177" s="77"/>
      <c r="AI177" s="72"/>
      <c r="AJ177" s="78"/>
      <c r="AK177" s="73"/>
      <c r="AL177" s="73"/>
      <c r="AM177" s="73"/>
      <c r="AN177" s="73"/>
      <c r="AO177" s="73"/>
      <c r="AP177" s="73"/>
    </row>
    <row r="178">
      <c r="A178" s="76"/>
      <c r="B178" s="30"/>
      <c r="C178" s="30"/>
      <c r="D178" s="30"/>
      <c r="E178" s="30"/>
      <c r="F178" s="30"/>
      <c r="G178" s="69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70"/>
      <c r="AF178" s="71"/>
      <c r="AG178" s="30"/>
      <c r="AH178" s="77"/>
      <c r="AI178" s="72"/>
      <c r="AJ178" s="78"/>
      <c r="AK178" s="73"/>
      <c r="AL178" s="73"/>
      <c r="AM178" s="73"/>
      <c r="AN178" s="73"/>
      <c r="AO178" s="73"/>
      <c r="AP178" s="73"/>
    </row>
    <row r="179">
      <c r="A179" s="76"/>
      <c r="B179" s="30"/>
      <c r="C179" s="30"/>
      <c r="D179" s="30"/>
      <c r="E179" s="30"/>
      <c r="F179" s="30"/>
      <c r="G179" s="69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70"/>
      <c r="AF179" s="71"/>
      <c r="AG179" s="30"/>
      <c r="AH179" s="77"/>
      <c r="AI179" s="72"/>
      <c r="AJ179" s="78"/>
      <c r="AK179" s="73"/>
      <c r="AL179" s="73"/>
      <c r="AM179" s="73"/>
      <c r="AN179" s="73"/>
      <c r="AO179" s="73"/>
      <c r="AP179" s="73"/>
    </row>
    <row r="180">
      <c r="A180" s="76"/>
      <c r="B180" s="30"/>
      <c r="C180" s="30"/>
      <c r="D180" s="30"/>
      <c r="E180" s="30"/>
      <c r="F180" s="30"/>
      <c r="G180" s="69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70"/>
      <c r="AF180" s="71"/>
      <c r="AG180" s="30"/>
      <c r="AH180" s="77"/>
      <c r="AI180" s="72"/>
      <c r="AJ180" s="78"/>
      <c r="AK180" s="73"/>
      <c r="AL180" s="73"/>
      <c r="AM180" s="73"/>
      <c r="AN180" s="73"/>
      <c r="AO180" s="73"/>
      <c r="AP180" s="73"/>
    </row>
    <row r="181">
      <c r="A181" s="76"/>
      <c r="B181" s="30"/>
      <c r="C181" s="30"/>
      <c r="D181" s="30"/>
      <c r="E181" s="30"/>
      <c r="F181" s="30"/>
      <c r="G181" s="69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70"/>
      <c r="AF181" s="71"/>
      <c r="AG181" s="30"/>
      <c r="AH181" s="77"/>
      <c r="AI181" s="72"/>
      <c r="AJ181" s="78"/>
      <c r="AK181" s="73"/>
      <c r="AL181" s="73"/>
      <c r="AM181" s="73"/>
      <c r="AN181" s="73"/>
      <c r="AO181" s="73"/>
      <c r="AP181" s="73"/>
    </row>
    <row r="182">
      <c r="A182" s="76"/>
      <c r="B182" s="30"/>
      <c r="C182" s="30"/>
      <c r="D182" s="30"/>
      <c r="E182" s="30"/>
      <c r="F182" s="30"/>
      <c r="G182" s="69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70"/>
      <c r="AF182" s="71"/>
      <c r="AG182" s="30"/>
      <c r="AH182" s="77"/>
      <c r="AI182" s="72"/>
      <c r="AJ182" s="78"/>
      <c r="AK182" s="73"/>
      <c r="AL182" s="73"/>
      <c r="AM182" s="73"/>
      <c r="AN182" s="73"/>
      <c r="AO182" s="73"/>
      <c r="AP182" s="73"/>
    </row>
    <row r="183">
      <c r="A183" s="76"/>
      <c r="B183" s="30"/>
      <c r="C183" s="30"/>
      <c r="D183" s="30"/>
      <c r="E183" s="30"/>
      <c r="F183" s="30"/>
      <c r="G183" s="69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70"/>
      <c r="AF183" s="71"/>
      <c r="AG183" s="30"/>
      <c r="AH183" s="77"/>
      <c r="AI183" s="72"/>
      <c r="AJ183" s="78"/>
      <c r="AK183" s="73"/>
      <c r="AL183" s="73"/>
      <c r="AM183" s="73"/>
      <c r="AN183" s="73"/>
      <c r="AO183" s="73"/>
      <c r="AP183" s="73"/>
    </row>
    <row r="184">
      <c r="A184" s="76"/>
      <c r="B184" s="30"/>
      <c r="C184" s="30"/>
      <c r="D184" s="30"/>
      <c r="E184" s="30"/>
      <c r="F184" s="30"/>
      <c r="G184" s="69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70"/>
      <c r="AF184" s="71"/>
      <c r="AG184" s="30"/>
      <c r="AH184" s="77"/>
      <c r="AI184" s="72"/>
      <c r="AJ184" s="78"/>
      <c r="AK184" s="73"/>
      <c r="AL184" s="73"/>
      <c r="AM184" s="73"/>
      <c r="AN184" s="73"/>
      <c r="AO184" s="73"/>
      <c r="AP184" s="73"/>
    </row>
    <row r="185">
      <c r="A185" s="76"/>
      <c r="B185" s="30"/>
      <c r="C185" s="30"/>
      <c r="D185" s="30"/>
      <c r="E185" s="30"/>
      <c r="F185" s="30"/>
      <c r="G185" s="69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70"/>
      <c r="AF185" s="71"/>
      <c r="AG185" s="30"/>
      <c r="AH185" s="77"/>
      <c r="AI185" s="72"/>
      <c r="AJ185" s="78"/>
      <c r="AK185" s="73"/>
      <c r="AL185" s="73"/>
      <c r="AM185" s="73"/>
      <c r="AN185" s="73"/>
      <c r="AO185" s="73"/>
      <c r="AP185" s="73"/>
    </row>
    <row r="186">
      <c r="A186" s="76"/>
      <c r="B186" s="30"/>
      <c r="C186" s="30"/>
      <c r="D186" s="30"/>
      <c r="E186" s="30"/>
      <c r="F186" s="30"/>
      <c r="G186" s="69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70"/>
      <c r="AF186" s="71"/>
      <c r="AG186" s="30"/>
      <c r="AH186" s="77"/>
      <c r="AI186" s="72"/>
      <c r="AJ186" s="78"/>
      <c r="AK186" s="73"/>
      <c r="AL186" s="73"/>
      <c r="AM186" s="73"/>
      <c r="AN186" s="73"/>
      <c r="AO186" s="73"/>
      <c r="AP186" s="73"/>
    </row>
    <row r="187">
      <c r="A187" s="76"/>
      <c r="B187" s="30"/>
      <c r="C187" s="30"/>
      <c r="D187" s="30"/>
      <c r="E187" s="30"/>
      <c r="F187" s="30"/>
      <c r="G187" s="69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70"/>
      <c r="AF187" s="71"/>
      <c r="AG187" s="30"/>
      <c r="AH187" s="77"/>
      <c r="AI187" s="72"/>
      <c r="AJ187" s="78"/>
      <c r="AK187" s="73"/>
      <c r="AL187" s="73"/>
      <c r="AM187" s="73"/>
      <c r="AN187" s="73"/>
      <c r="AO187" s="73"/>
      <c r="AP187" s="73"/>
    </row>
    <row r="188">
      <c r="A188" s="76"/>
      <c r="B188" s="30"/>
      <c r="C188" s="30"/>
      <c r="D188" s="30"/>
      <c r="E188" s="30"/>
      <c r="F188" s="30"/>
      <c r="G188" s="69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70"/>
      <c r="AF188" s="71"/>
      <c r="AG188" s="30"/>
      <c r="AH188" s="77"/>
      <c r="AI188" s="72"/>
      <c r="AJ188" s="78"/>
      <c r="AK188" s="73"/>
      <c r="AL188" s="73"/>
      <c r="AM188" s="73"/>
      <c r="AN188" s="73"/>
      <c r="AO188" s="73"/>
      <c r="AP188" s="73"/>
    </row>
    <row r="189">
      <c r="A189" s="76"/>
      <c r="B189" s="30"/>
      <c r="C189" s="30"/>
      <c r="D189" s="30"/>
      <c r="E189" s="30"/>
      <c r="F189" s="30"/>
      <c r="G189" s="69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70"/>
      <c r="AF189" s="71"/>
      <c r="AG189" s="30"/>
      <c r="AH189" s="77"/>
      <c r="AI189" s="72"/>
      <c r="AJ189" s="78"/>
      <c r="AK189" s="73"/>
      <c r="AL189" s="73"/>
      <c r="AM189" s="73"/>
      <c r="AN189" s="73"/>
      <c r="AO189" s="73"/>
      <c r="AP189" s="73"/>
    </row>
    <row r="190">
      <c r="A190" s="76"/>
      <c r="B190" s="30"/>
      <c r="C190" s="30"/>
      <c r="D190" s="30"/>
      <c r="E190" s="30"/>
      <c r="F190" s="30"/>
      <c r="G190" s="69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70"/>
      <c r="AF190" s="71"/>
      <c r="AG190" s="30"/>
      <c r="AH190" s="77"/>
      <c r="AI190" s="72"/>
      <c r="AJ190" s="78"/>
      <c r="AK190" s="73"/>
      <c r="AL190" s="73"/>
      <c r="AM190" s="73"/>
      <c r="AN190" s="73"/>
      <c r="AO190" s="73"/>
      <c r="AP190" s="73"/>
    </row>
    <row r="191">
      <c r="A191" s="76"/>
      <c r="B191" s="30"/>
      <c r="C191" s="30"/>
      <c r="D191" s="30"/>
      <c r="E191" s="30"/>
      <c r="F191" s="30"/>
      <c r="G191" s="69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70"/>
      <c r="AF191" s="71"/>
      <c r="AG191" s="30"/>
      <c r="AH191" s="77"/>
      <c r="AI191" s="72"/>
      <c r="AJ191" s="78"/>
      <c r="AK191" s="73"/>
      <c r="AL191" s="73"/>
      <c r="AM191" s="73"/>
      <c r="AN191" s="73"/>
      <c r="AO191" s="73"/>
      <c r="AP191" s="73"/>
    </row>
    <row r="192">
      <c r="A192" s="76"/>
      <c r="B192" s="30"/>
      <c r="C192" s="30"/>
      <c r="D192" s="30"/>
      <c r="E192" s="30"/>
      <c r="F192" s="30"/>
      <c r="G192" s="69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70"/>
      <c r="AF192" s="71"/>
      <c r="AG192" s="30"/>
      <c r="AH192" s="77"/>
      <c r="AI192" s="72"/>
      <c r="AJ192" s="78"/>
      <c r="AK192" s="73"/>
      <c r="AL192" s="73"/>
      <c r="AM192" s="73"/>
      <c r="AN192" s="73"/>
      <c r="AO192" s="73"/>
      <c r="AP192" s="73"/>
    </row>
    <row r="193">
      <c r="A193" s="76"/>
      <c r="B193" s="30"/>
      <c r="C193" s="30"/>
      <c r="D193" s="30"/>
      <c r="E193" s="30"/>
      <c r="F193" s="30"/>
      <c r="G193" s="69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70"/>
      <c r="AF193" s="71"/>
      <c r="AG193" s="30"/>
      <c r="AH193" s="77"/>
      <c r="AI193" s="72"/>
      <c r="AJ193" s="78"/>
      <c r="AK193" s="73"/>
      <c r="AL193" s="73"/>
      <c r="AM193" s="73"/>
      <c r="AN193" s="73"/>
      <c r="AO193" s="73"/>
      <c r="AP193" s="73"/>
    </row>
    <row r="194">
      <c r="A194" s="76"/>
      <c r="B194" s="30"/>
      <c r="C194" s="30"/>
      <c r="D194" s="30"/>
      <c r="E194" s="30"/>
      <c r="F194" s="30"/>
      <c r="G194" s="69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70"/>
      <c r="AF194" s="71"/>
      <c r="AG194" s="30"/>
      <c r="AH194" s="77"/>
      <c r="AI194" s="72"/>
      <c r="AJ194" s="78"/>
      <c r="AK194" s="73"/>
      <c r="AL194" s="73"/>
      <c r="AM194" s="73"/>
      <c r="AN194" s="73"/>
      <c r="AO194" s="73"/>
      <c r="AP194" s="73"/>
    </row>
    <row r="195">
      <c r="A195" s="76"/>
      <c r="B195" s="30"/>
      <c r="C195" s="30"/>
      <c r="D195" s="30"/>
      <c r="E195" s="30"/>
      <c r="F195" s="30"/>
      <c r="G195" s="69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70"/>
      <c r="AF195" s="71"/>
      <c r="AG195" s="30"/>
      <c r="AH195" s="77"/>
      <c r="AI195" s="72"/>
      <c r="AJ195" s="78"/>
      <c r="AK195" s="73"/>
      <c r="AL195" s="73"/>
      <c r="AM195" s="73"/>
      <c r="AN195" s="73"/>
      <c r="AO195" s="73"/>
      <c r="AP195" s="73"/>
    </row>
    <row r="196">
      <c r="A196" s="76"/>
      <c r="B196" s="30"/>
      <c r="C196" s="30"/>
      <c r="D196" s="30"/>
      <c r="E196" s="30"/>
      <c r="F196" s="30"/>
      <c r="G196" s="69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70"/>
      <c r="AF196" s="71"/>
      <c r="AG196" s="30"/>
      <c r="AH196" s="77"/>
      <c r="AI196" s="72"/>
      <c r="AJ196" s="78"/>
      <c r="AK196" s="73"/>
      <c r="AL196" s="73"/>
      <c r="AM196" s="73"/>
      <c r="AN196" s="73"/>
      <c r="AO196" s="73"/>
      <c r="AP196" s="73"/>
    </row>
    <row r="197">
      <c r="A197" s="76"/>
      <c r="B197" s="30"/>
      <c r="C197" s="30"/>
      <c r="D197" s="30"/>
      <c r="E197" s="30"/>
      <c r="F197" s="30"/>
      <c r="G197" s="69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70"/>
      <c r="AF197" s="71"/>
      <c r="AG197" s="30"/>
      <c r="AH197" s="77"/>
      <c r="AI197" s="72"/>
      <c r="AJ197" s="78"/>
      <c r="AK197" s="73"/>
      <c r="AL197" s="73"/>
      <c r="AM197" s="73"/>
      <c r="AN197" s="73"/>
      <c r="AO197" s="73"/>
      <c r="AP197" s="73"/>
    </row>
    <row r="198">
      <c r="A198" s="76"/>
      <c r="B198" s="30"/>
      <c r="C198" s="30"/>
      <c r="D198" s="30"/>
      <c r="E198" s="30"/>
      <c r="F198" s="30"/>
      <c r="G198" s="69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70"/>
      <c r="AF198" s="71"/>
      <c r="AG198" s="30"/>
      <c r="AH198" s="77"/>
      <c r="AI198" s="72"/>
      <c r="AJ198" s="78"/>
      <c r="AK198" s="73"/>
      <c r="AL198" s="73"/>
      <c r="AM198" s="73"/>
      <c r="AN198" s="73"/>
      <c r="AO198" s="73"/>
      <c r="AP198" s="73"/>
    </row>
    <row r="199">
      <c r="A199" s="76"/>
      <c r="B199" s="30"/>
      <c r="C199" s="30"/>
      <c r="D199" s="30"/>
      <c r="E199" s="30"/>
      <c r="F199" s="30"/>
      <c r="G199" s="69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70"/>
      <c r="AF199" s="71"/>
      <c r="AG199" s="30"/>
      <c r="AH199" s="77"/>
      <c r="AI199" s="72"/>
      <c r="AJ199" s="78"/>
      <c r="AK199" s="73"/>
      <c r="AL199" s="73"/>
      <c r="AM199" s="73"/>
      <c r="AN199" s="73"/>
      <c r="AO199" s="73"/>
      <c r="AP199" s="73"/>
    </row>
    <row r="200">
      <c r="A200" s="76"/>
      <c r="B200" s="30"/>
      <c r="C200" s="30"/>
      <c r="D200" s="30"/>
      <c r="E200" s="30"/>
      <c r="F200" s="30"/>
      <c r="G200" s="69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70"/>
      <c r="AF200" s="71"/>
      <c r="AG200" s="30"/>
      <c r="AH200" s="77"/>
      <c r="AI200" s="72"/>
      <c r="AJ200" s="78"/>
      <c r="AK200" s="73"/>
      <c r="AL200" s="73"/>
      <c r="AM200" s="73"/>
      <c r="AN200" s="73"/>
      <c r="AO200" s="73"/>
      <c r="AP200" s="73"/>
    </row>
    <row r="201">
      <c r="A201" s="76"/>
      <c r="B201" s="30"/>
      <c r="C201" s="30"/>
      <c r="D201" s="30"/>
      <c r="E201" s="30"/>
      <c r="F201" s="30"/>
      <c r="G201" s="69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70"/>
      <c r="AF201" s="71"/>
      <c r="AG201" s="30"/>
      <c r="AH201" s="77"/>
      <c r="AI201" s="72"/>
      <c r="AJ201" s="78"/>
      <c r="AK201" s="73"/>
      <c r="AL201" s="73"/>
      <c r="AM201" s="73"/>
      <c r="AN201" s="73"/>
      <c r="AO201" s="73"/>
      <c r="AP201" s="73"/>
    </row>
    <row r="202">
      <c r="A202" s="76"/>
      <c r="B202" s="30"/>
      <c r="C202" s="30"/>
      <c r="D202" s="30"/>
      <c r="E202" s="30"/>
      <c r="F202" s="30"/>
      <c r="G202" s="69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70"/>
      <c r="AF202" s="71"/>
      <c r="AG202" s="30"/>
      <c r="AH202" s="77"/>
      <c r="AI202" s="72"/>
      <c r="AJ202" s="78"/>
      <c r="AK202" s="73"/>
      <c r="AL202" s="73"/>
      <c r="AM202" s="73"/>
      <c r="AN202" s="73"/>
      <c r="AO202" s="73"/>
      <c r="AP202" s="73"/>
    </row>
    <row r="203">
      <c r="A203" s="76"/>
      <c r="B203" s="30"/>
      <c r="C203" s="30"/>
      <c r="D203" s="30"/>
      <c r="E203" s="30"/>
      <c r="F203" s="30"/>
      <c r="G203" s="69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70"/>
      <c r="AF203" s="71"/>
      <c r="AG203" s="30"/>
      <c r="AH203" s="77"/>
      <c r="AI203" s="72"/>
      <c r="AJ203" s="78"/>
      <c r="AK203" s="73"/>
      <c r="AL203" s="73"/>
      <c r="AM203" s="73"/>
      <c r="AN203" s="73"/>
      <c r="AO203" s="73"/>
      <c r="AP203" s="73"/>
    </row>
    <row r="204">
      <c r="A204" s="76"/>
      <c r="B204" s="30"/>
      <c r="C204" s="30"/>
      <c r="D204" s="30"/>
      <c r="E204" s="30"/>
      <c r="F204" s="30"/>
      <c r="G204" s="69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70"/>
      <c r="AF204" s="71"/>
      <c r="AG204" s="30"/>
      <c r="AH204" s="77"/>
      <c r="AI204" s="72"/>
      <c r="AJ204" s="78"/>
      <c r="AK204" s="73"/>
      <c r="AL204" s="73"/>
      <c r="AM204" s="73"/>
      <c r="AN204" s="73"/>
      <c r="AO204" s="73"/>
      <c r="AP204" s="73"/>
    </row>
    <row r="205">
      <c r="A205" s="76"/>
      <c r="B205" s="30"/>
      <c r="C205" s="30"/>
      <c r="D205" s="30"/>
      <c r="E205" s="30"/>
      <c r="F205" s="30"/>
      <c r="G205" s="69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70"/>
      <c r="AF205" s="71"/>
      <c r="AG205" s="30"/>
      <c r="AH205" s="77"/>
      <c r="AI205" s="72"/>
      <c r="AJ205" s="78"/>
      <c r="AK205" s="73"/>
      <c r="AL205" s="73"/>
      <c r="AM205" s="73"/>
      <c r="AN205" s="73"/>
      <c r="AO205" s="73"/>
      <c r="AP205" s="73"/>
    </row>
    <row r="206">
      <c r="A206" s="76"/>
      <c r="B206" s="30"/>
      <c r="C206" s="30"/>
      <c r="D206" s="30"/>
      <c r="E206" s="30"/>
      <c r="F206" s="30"/>
      <c r="G206" s="69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70"/>
      <c r="AF206" s="71"/>
      <c r="AG206" s="30"/>
      <c r="AH206" s="77"/>
      <c r="AI206" s="72"/>
      <c r="AJ206" s="78"/>
      <c r="AK206" s="73"/>
      <c r="AL206" s="73"/>
      <c r="AM206" s="73"/>
      <c r="AN206" s="73"/>
      <c r="AO206" s="73"/>
      <c r="AP206" s="73"/>
    </row>
    <row r="207">
      <c r="A207" s="76"/>
      <c r="B207" s="30"/>
      <c r="C207" s="30"/>
      <c r="D207" s="30"/>
      <c r="E207" s="30"/>
      <c r="F207" s="30"/>
      <c r="G207" s="69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70"/>
      <c r="AF207" s="71"/>
      <c r="AG207" s="30"/>
      <c r="AH207" s="77"/>
      <c r="AI207" s="72"/>
      <c r="AJ207" s="78"/>
      <c r="AK207" s="73"/>
      <c r="AL207" s="73"/>
      <c r="AM207" s="73"/>
      <c r="AN207" s="73"/>
      <c r="AO207" s="73"/>
      <c r="AP207" s="73"/>
    </row>
    <row r="208">
      <c r="A208" s="76"/>
      <c r="B208" s="30"/>
      <c r="C208" s="30"/>
      <c r="D208" s="30"/>
      <c r="E208" s="30"/>
      <c r="F208" s="30"/>
      <c r="G208" s="69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70"/>
      <c r="AF208" s="71"/>
      <c r="AG208" s="30"/>
      <c r="AH208" s="77"/>
      <c r="AI208" s="72"/>
      <c r="AJ208" s="78"/>
      <c r="AK208" s="73"/>
      <c r="AL208" s="73"/>
      <c r="AM208" s="73"/>
      <c r="AN208" s="73"/>
      <c r="AO208" s="73"/>
      <c r="AP208" s="73"/>
    </row>
    <row r="209">
      <c r="A209" s="76"/>
      <c r="B209" s="30"/>
      <c r="C209" s="30"/>
      <c r="D209" s="30"/>
      <c r="E209" s="30"/>
      <c r="F209" s="30"/>
      <c r="G209" s="69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70"/>
      <c r="AF209" s="71"/>
      <c r="AG209" s="30"/>
      <c r="AH209" s="77"/>
      <c r="AI209" s="72"/>
      <c r="AJ209" s="78"/>
      <c r="AK209" s="73"/>
      <c r="AL209" s="73"/>
      <c r="AM209" s="73"/>
      <c r="AN209" s="73"/>
      <c r="AO209" s="73"/>
      <c r="AP209" s="73"/>
    </row>
    <row r="210">
      <c r="A210" s="76"/>
      <c r="B210" s="30"/>
      <c r="C210" s="30"/>
      <c r="D210" s="30"/>
      <c r="E210" s="30"/>
      <c r="F210" s="30"/>
      <c r="G210" s="69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70"/>
      <c r="AF210" s="71"/>
      <c r="AG210" s="30"/>
      <c r="AH210" s="77"/>
      <c r="AI210" s="72"/>
      <c r="AJ210" s="78"/>
      <c r="AK210" s="73"/>
      <c r="AL210" s="73"/>
      <c r="AM210" s="73"/>
      <c r="AN210" s="73"/>
      <c r="AO210" s="73"/>
      <c r="AP210" s="73"/>
    </row>
    <row r="211">
      <c r="A211" s="76"/>
      <c r="B211" s="30"/>
      <c r="C211" s="30"/>
      <c r="D211" s="30"/>
      <c r="E211" s="30"/>
      <c r="F211" s="30"/>
      <c r="G211" s="69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70"/>
      <c r="AF211" s="71"/>
      <c r="AG211" s="30"/>
      <c r="AH211" s="77"/>
      <c r="AI211" s="72"/>
      <c r="AJ211" s="78"/>
      <c r="AK211" s="73"/>
      <c r="AL211" s="73"/>
      <c r="AM211" s="73"/>
      <c r="AN211" s="73"/>
      <c r="AO211" s="73"/>
      <c r="AP211" s="73"/>
    </row>
    <row r="212">
      <c r="A212" s="76"/>
      <c r="B212" s="30"/>
      <c r="C212" s="30"/>
      <c r="D212" s="30"/>
      <c r="E212" s="30"/>
      <c r="F212" s="30"/>
      <c r="G212" s="69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70"/>
      <c r="AF212" s="71"/>
      <c r="AG212" s="30"/>
      <c r="AH212" s="77"/>
      <c r="AI212" s="72"/>
      <c r="AJ212" s="78"/>
      <c r="AK212" s="73"/>
      <c r="AL212" s="73"/>
      <c r="AM212" s="73"/>
      <c r="AN212" s="73"/>
      <c r="AO212" s="73"/>
      <c r="AP212" s="73"/>
    </row>
    <row r="213">
      <c r="A213" s="76"/>
      <c r="B213" s="30"/>
      <c r="C213" s="30"/>
      <c r="D213" s="30"/>
      <c r="E213" s="30"/>
      <c r="F213" s="30"/>
      <c r="G213" s="69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70"/>
      <c r="AF213" s="71"/>
      <c r="AG213" s="30"/>
      <c r="AH213" s="77"/>
      <c r="AI213" s="72"/>
      <c r="AJ213" s="78"/>
      <c r="AK213" s="73"/>
      <c r="AL213" s="73"/>
      <c r="AM213" s="73"/>
      <c r="AN213" s="73"/>
      <c r="AO213" s="73"/>
      <c r="AP213" s="73"/>
    </row>
    <row r="214">
      <c r="A214" s="76"/>
      <c r="B214" s="30"/>
      <c r="C214" s="30"/>
      <c r="D214" s="30"/>
      <c r="E214" s="30"/>
      <c r="F214" s="30"/>
      <c r="G214" s="69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70"/>
      <c r="AF214" s="71"/>
      <c r="AG214" s="30"/>
      <c r="AH214" s="77"/>
      <c r="AI214" s="72"/>
      <c r="AJ214" s="78"/>
      <c r="AK214" s="73"/>
      <c r="AL214" s="73"/>
      <c r="AM214" s="73"/>
      <c r="AN214" s="73"/>
      <c r="AO214" s="73"/>
      <c r="AP214" s="73"/>
    </row>
    <row r="215">
      <c r="A215" s="76"/>
      <c r="B215" s="30"/>
      <c r="C215" s="30"/>
      <c r="D215" s="30"/>
      <c r="E215" s="30"/>
      <c r="F215" s="30"/>
      <c r="G215" s="69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70"/>
      <c r="AF215" s="71"/>
      <c r="AG215" s="30"/>
      <c r="AH215" s="78"/>
      <c r="AI215" s="72"/>
      <c r="AJ215" s="78"/>
      <c r="AK215" s="73"/>
      <c r="AL215" s="73"/>
      <c r="AM215" s="73"/>
      <c r="AN215" s="73"/>
      <c r="AO215" s="73"/>
      <c r="AP215" s="73"/>
    </row>
    <row r="216">
      <c r="A216" s="76"/>
      <c r="B216" s="30"/>
      <c r="C216" s="30"/>
      <c r="D216" s="30"/>
      <c r="E216" s="30"/>
      <c r="F216" s="30"/>
      <c r="G216" s="69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70"/>
      <c r="AF216" s="71"/>
      <c r="AG216" s="30"/>
      <c r="AH216" s="78"/>
      <c r="AI216" s="72"/>
      <c r="AJ216" s="78"/>
      <c r="AK216" s="73"/>
      <c r="AL216" s="73"/>
      <c r="AM216" s="73"/>
      <c r="AN216" s="73"/>
      <c r="AO216" s="73"/>
      <c r="AP216" s="73"/>
    </row>
    <row r="217">
      <c r="A217" s="76"/>
      <c r="B217" s="30"/>
      <c r="C217" s="30"/>
      <c r="D217" s="30"/>
      <c r="E217" s="30"/>
      <c r="F217" s="30"/>
      <c r="G217" s="69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70"/>
      <c r="AF217" s="71"/>
      <c r="AG217" s="30"/>
      <c r="AH217" s="78"/>
      <c r="AI217" s="72"/>
      <c r="AJ217" s="78"/>
      <c r="AK217" s="73"/>
      <c r="AL217" s="73"/>
      <c r="AM217" s="73"/>
      <c r="AN217" s="73"/>
      <c r="AO217" s="73"/>
      <c r="AP217" s="73"/>
    </row>
    <row r="218">
      <c r="A218" s="76"/>
      <c r="B218" s="30"/>
      <c r="C218" s="30"/>
      <c r="D218" s="30"/>
      <c r="E218" s="30"/>
      <c r="F218" s="30"/>
      <c r="G218" s="69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70"/>
      <c r="AF218" s="71"/>
      <c r="AG218" s="30"/>
      <c r="AH218" s="78"/>
      <c r="AI218" s="72"/>
      <c r="AJ218" s="78"/>
      <c r="AK218" s="73"/>
      <c r="AL218" s="73"/>
      <c r="AM218" s="73"/>
      <c r="AN218" s="73"/>
      <c r="AO218" s="73"/>
      <c r="AP218" s="73"/>
    </row>
    <row r="219">
      <c r="A219" s="76"/>
      <c r="B219" s="30"/>
      <c r="C219" s="30"/>
      <c r="D219" s="30"/>
      <c r="E219" s="30"/>
      <c r="F219" s="30"/>
      <c r="G219" s="69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70"/>
      <c r="AF219" s="71"/>
      <c r="AG219" s="30"/>
      <c r="AH219" s="78"/>
      <c r="AI219" s="72"/>
      <c r="AJ219" s="78"/>
      <c r="AK219" s="73"/>
      <c r="AL219" s="73"/>
      <c r="AM219" s="73"/>
      <c r="AN219" s="73"/>
      <c r="AO219" s="73"/>
      <c r="AP219" s="73"/>
    </row>
    <row r="220">
      <c r="A220" s="76"/>
      <c r="B220" s="30"/>
      <c r="C220" s="30"/>
      <c r="D220" s="30"/>
      <c r="E220" s="30"/>
      <c r="F220" s="30"/>
      <c r="G220" s="69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70"/>
      <c r="AF220" s="71"/>
      <c r="AG220" s="30"/>
      <c r="AH220" s="78"/>
      <c r="AI220" s="72"/>
      <c r="AJ220" s="78"/>
      <c r="AK220" s="73"/>
      <c r="AL220" s="73"/>
      <c r="AM220" s="73"/>
      <c r="AN220" s="73"/>
      <c r="AO220" s="73"/>
      <c r="AP220" s="73"/>
    </row>
    <row r="221">
      <c r="A221" s="76"/>
      <c r="B221" s="30"/>
      <c r="C221" s="30"/>
      <c r="D221" s="30"/>
      <c r="E221" s="30"/>
      <c r="F221" s="30"/>
      <c r="G221" s="69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70"/>
      <c r="AF221" s="71"/>
      <c r="AG221" s="30"/>
      <c r="AH221" s="78"/>
      <c r="AI221" s="72"/>
      <c r="AJ221" s="78"/>
      <c r="AK221" s="73"/>
      <c r="AL221" s="73"/>
      <c r="AM221" s="73"/>
      <c r="AN221" s="73"/>
      <c r="AO221" s="73"/>
      <c r="AP221" s="73"/>
    </row>
    <row r="222">
      <c r="A222" s="76"/>
      <c r="B222" s="30"/>
      <c r="C222" s="30"/>
      <c r="D222" s="30"/>
      <c r="E222" s="30"/>
      <c r="F222" s="30"/>
      <c r="G222" s="69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70"/>
      <c r="AF222" s="71"/>
      <c r="AG222" s="30"/>
      <c r="AH222" s="78"/>
      <c r="AI222" s="72"/>
      <c r="AJ222" s="78"/>
      <c r="AK222" s="73"/>
      <c r="AL222" s="73"/>
      <c r="AM222" s="73"/>
      <c r="AN222" s="73"/>
      <c r="AO222" s="73"/>
      <c r="AP222" s="73"/>
    </row>
    <row r="223">
      <c r="A223" s="76"/>
      <c r="B223" s="30"/>
      <c r="C223" s="30"/>
      <c r="D223" s="30"/>
      <c r="E223" s="30"/>
      <c r="F223" s="30"/>
      <c r="G223" s="69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70"/>
      <c r="AF223" s="71"/>
      <c r="AG223" s="30"/>
      <c r="AH223" s="78"/>
      <c r="AI223" s="72"/>
      <c r="AJ223" s="78"/>
      <c r="AK223" s="73"/>
      <c r="AL223" s="73"/>
      <c r="AM223" s="73"/>
      <c r="AN223" s="73"/>
      <c r="AO223" s="73"/>
      <c r="AP223" s="73"/>
    </row>
    <row r="224">
      <c r="A224" s="76"/>
      <c r="B224" s="30"/>
      <c r="C224" s="30"/>
      <c r="D224" s="30"/>
      <c r="E224" s="30"/>
      <c r="F224" s="30"/>
      <c r="G224" s="69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70"/>
      <c r="AF224" s="71"/>
      <c r="AG224" s="30"/>
      <c r="AH224" s="78"/>
      <c r="AI224" s="72"/>
      <c r="AJ224" s="78"/>
      <c r="AK224" s="73"/>
      <c r="AL224" s="73"/>
      <c r="AM224" s="73"/>
      <c r="AN224" s="73"/>
      <c r="AO224" s="73"/>
      <c r="AP224" s="73"/>
    </row>
    <row r="225">
      <c r="A225" s="76"/>
      <c r="B225" s="30"/>
      <c r="C225" s="30"/>
      <c r="D225" s="30"/>
      <c r="E225" s="30"/>
      <c r="F225" s="30"/>
      <c r="G225" s="69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70"/>
      <c r="AF225" s="71"/>
      <c r="AG225" s="30"/>
      <c r="AH225" s="78"/>
      <c r="AI225" s="72"/>
      <c r="AJ225" s="78"/>
      <c r="AK225" s="73"/>
      <c r="AL225" s="73"/>
      <c r="AM225" s="73"/>
      <c r="AN225" s="73"/>
      <c r="AO225" s="73"/>
      <c r="AP225" s="73"/>
    </row>
    <row r="226">
      <c r="A226" s="76"/>
      <c r="B226" s="30"/>
      <c r="C226" s="30"/>
      <c r="D226" s="30"/>
      <c r="E226" s="30"/>
      <c r="F226" s="30"/>
      <c r="G226" s="69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70"/>
      <c r="AF226" s="71"/>
      <c r="AG226" s="30"/>
      <c r="AH226" s="78"/>
      <c r="AI226" s="72"/>
      <c r="AJ226" s="78"/>
      <c r="AK226" s="73"/>
      <c r="AL226" s="73"/>
      <c r="AM226" s="73"/>
      <c r="AN226" s="73"/>
      <c r="AO226" s="73"/>
      <c r="AP226" s="73"/>
    </row>
    <row r="227">
      <c r="A227" s="76"/>
      <c r="B227" s="30"/>
      <c r="C227" s="30"/>
      <c r="D227" s="30"/>
      <c r="E227" s="30"/>
      <c r="F227" s="30"/>
      <c r="G227" s="69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70"/>
      <c r="AF227" s="71"/>
      <c r="AG227" s="30"/>
      <c r="AH227" s="78"/>
      <c r="AI227" s="72"/>
      <c r="AJ227" s="78"/>
      <c r="AK227" s="73"/>
      <c r="AL227" s="73"/>
      <c r="AM227" s="73"/>
      <c r="AN227" s="73"/>
      <c r="AO227" s="73"/>
      <c r="AP227" s="73"/>
    </row>
    <row r="228">
      <c r="A228" s="76"/>
      <c r="B228" s="30"/>
      <c r="C228" s="30"/>
      <c r="D228" s="30"/>
      <c r="E228" s="30"/>
      <c r="F228" s="30"/>
      <c r="G228" s="69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70"/>
      <c r="AF228" s="71"/>
      <c r="AG228" s="30"/>
      <c r="AH228" s="78"/>
      <c r="AI228" s="72"/>
      <c r="AJ228" s="78"/>
      <c r="AK228" s="73"/>
      <c r="AL228" s="73"/>
      <c r="AM228" s="73"/>
      <c r="AN228" s="73"/>
      <c r="AO228" s="73"/>
      <c r="AP228" s="73"/>
    </row>
    <row r="229">
      <c r="A229" s="76"/>
      <c r="B229" s="30"/>
      <c r="C229" s="30"/>
      <c r="D229" s="30"/>
      <c r="E229" s="30"/>
      <c r="F229" s="30"/>
      <c r="G229" s="69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70"/>
      <c r="AF229" s="71"/>
      <c r="AG229" s="30"/>
      <c r="AH229" s="78"/>
      <c r="AI229" s="72"/>
      <c r="AJ229" s="78"/>
      <c r="AK229" s="73"/>
      <c r="AL229" s="73"/>
      <c r="AM229" s="73"/>
      <c r="AN229" s="73"/>
      <c r="AO229" s="73"/>
      <c r="AP229" s="73"/>
    </row>
    <row r="230">
      <c r="A230" s="76"/>
      <c r="B230" s="30"/>
      <c r="C230" s="30"/>
      <c r="D230" s="30"/>
      <c r="E230" s="30"/>
      <c r="F230" s="30"/>
      <c r="G230" s="69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70"/>
      <c r="AF230" s="71"/>
      <c r="AG230" s="30"/>
      <c r="AH230" s="78"/>
      <c r="AI230" s="72"/>
      <c r="AJ230" s="78"/>
      <c r="AK230" s="73"/>
      <c r="AL230" s="73"/>
      <c r="AM230" s="73"/>
      <c r="AN230" s="73"/>
      <c r="AO230" s="73"/>
      <c r="AP230" s="73"/>
    </row>
    <row r="231">
      <c r="A231" s="76"/>
      <c r="B231" s="30"/>
      <c r="C231" s="30"/>
      <c r="D231" s="30"/>
      <c r="E231" s="30"/>
      <c r="F231" s="30"/>
      <c r="G231" s="69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70"/>
      <c r="AF231" s="71"/>
      <c r="AG231" s="30"/>
      <c r="AH231" s="78"/>
      <c r="AI231" s="72"/>
      <c r="AJ231" s="78"/>
      <c r="AK231" s="73"/>
      <c r="AL231" s="73"/>
      <c r="AM231" s="73"/>
      <c r="AN231" s="73"/>
      <c r="AO231" s="73"/>
      <c r="AP231" s="73"/>
    </row>
    <row r="232">
      <c r="A232" s="76"/>
      <c r="B232" s="30"/>
      <c r="C232" s="30"/>
      <c r="D232" s="30"/>
      <c r="E232" s="30"/>
      <c r="F232" s="30"/>
      <c r="G232" s="69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70"/>
      <c r="AF232" s="71"/>
      <c r="AG232" s="30"/>
      <c r="AH232" s="78"/>
      <c r="AI232" s="72"/>
      <c r="AJ232" s="78"/>
      <c r="AK232" s="73"/>
      <c r="AL232" s="73"/>
      <c r="AM232" s="73"/>
      <c r="AN232" s="73"/>
      <c r="AO232" s="73"/>
      <c r="AP232" s="73"/>
    </row>
    <row r="233">
      <c r="A233" s="76"/>
      <c r="B233" s="30"/>
      <c r="C233" s="30"/>
      <c r="D233" s="30"/>
      <c r="E233" s="30"/>
      <c r="F233" s="30"/>
      <c r="G233" s="69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70"/>
      <c r="AF233" s="71"/>
      <c r="AG233" s="30"/>
      <c r="AH233" s="78"/>
      <c r="AI233" s="72"/>
      <c r="AJ233" s="78"/>
      <c r="AK233" s="73"/>
      <c r="AL233" s="73"/>
      <c r="AM233" s="73"/>
      <c r="AN233" s="73"/>
      <c r="AO233" s="73"/>
      <c r="AP233" s="73"/>
    </row>
    <row r="234">
      <c r="A234" s="76"/>
      <c r="B234" s="30"/>
      <c r="C234" s="30"/>
      <c r="D234" s="30"/>
      <c r="E234" s="30"/>
      <c r="F234" s="30"/>
      <c r="G234" s="69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70"/>
      <c r="AF234" s="71"/>
      <c r="AG234" s="30"/>
      <c r="AH234" s="78"/>
      <c r="AI234" s="72"/>
      <c r="AJ234" s="78"/>
      <c r="AK234" s="73"/>
      <c r="AL234" s="73"/>
      <c r="AM234" s="73"/>
      <c r="AN234" s="73"/>
      <c r="AO234" s="73"/>
      <c r="AP234" s="73"/>
    </row>
    <row r="235">
      <c r="A235" s="76"/>
      <c r="B235" s="30"/>
      <c r="C235" s="30"/>
      <c r="D235" s="30"/>
      <c r="E235" s="30"/>
      <c r="F235" s="30"/>
      <c r="G235" s="69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70"/>
      <c r="AF235" s="71"/>
      <c r="AG235" s="30"/>
      <c r="AH235" s="78"/>
      <c r="AI235" s="72"/>
      <c r="AJ235" s="78"/>
      <c r="AK235" s="73"/>
      <c r="AL235" s="73"/>
      <c r="AM235" s="73"/>
      <c r="AN235" s="73"/>
      <c r="AO235" s="73"/>
      <c r="AP235" s="73"/>
    </row>
    <row r="236">
      <c r="A236" s="76"/>
      <c r="B236" s="30"/>
      <c r="C236" s="30"/>
      <c r="D236" s="30"/>
      <c r="E236" s="30"/>
      <c r="F236" s="30"/>
      <c r="G236" s="69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70"/>
      <c r="AF236" s="71"/>
      <c r="AG236" s="30"/>
      <c r="AH236" s="78"/>
      <c r="AI236" s="72"/>
      <c r="AJ236" s="78"/>
      <c r="AK236" s="73"/>
      <c r="AL236" s="73"/>
      <c r="AM236" s="73"/>
      <c r="AN236" s="73"/>
      <c r="AO236" s="73"/>
      <c r="AP236" s="73"/>
    </row>
    <row r="237">
      <c r="A237" s="76"/>
      <c r="B237" s="30"/>
      <c r="C237" s="30"/>
      <c r="D237" s="30"/>
      <c r="E237" s="30"/>
      <c r="F237" s="30"/>
      <c r="G237" s="69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70"/>
      <c r="AF237" s="71"/>
      <c r="AG237" s="30"/>
      <c r="AH237" s="78"/>
      <c r="AI237" s="72"/>
      <c r="AJ237" s="78"/>
      <c r="AK237" s="73"/>
      <c r="AL237" s="73"/>
      <c r="AM237" s="73"/>
      <c r="AN237" s="73"/>
      <c r="AO237" s="73"/>
      <c r="AP237" s="73"/>
    </row>
    <row r="238">
      <c r="A238" s="76"/>
      <c r="B238" s="30"/>
      <c r="C238" s="30"/>
      <c r="D238" s="30"/>
      <c r="E238" s="30"/>
      <c r="F238" s="30"/>
      <c r="G238" s="69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70"/>
      <c r="AF238" s="71"/>
      <c r="AG238" s="30"/>
      <c r="AH238" s="78"/>
      <c r="AI238" s="72"/>
      <c r="AJ238" s="78"/>
      <c r="AK238" s="73"/>
      <c r="AL238" s="73"/>
      <c r="AM238" s="73"/>
      <c r="AN238" s="73"/>
      <c r="AO238" s="73"/>
      <c r="AP238" s="73"/>
    </row>
    <row r="239">
      <c r="A239" s="76"/>
      <c r="B239" s="30"/>
      <c r="C239" s="30"/>
      <c r="D239" s="30"/>
      <c r="E239" s="30"/>
      <c r="F239" s="30"/>
      <c r="G239" s="69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70"/>
      <c r="AF239" s="71"/>
      <c r="AG239" s="30"/>
      <c r="AH239" s="78"/>
      <c r="AI239" s="72"/>
      <c r="AJ239" s="78"/>
      <c r="AK239" s="73"/>
      <c r="AL239" s="73"/>
      <c r="AM239" s="73"/>
      <c r="AN239" s="73"/>
      <c r="AO239" s="73"/>
      <c r="AP239" s="73"/>
    </row>
    <row r="240">
      <c r="A240" s="76"/>
      <c r="B240" s="30"/>
      <c r="C240" s="30"/>
      <c r="D240" s="30"/>
      <c r="E240" s="30"/>
      <c r="F240" s="30"/>
      <c r="G240" s="69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70"/>
      <c r="AF240" s="71"/>
      <c r="AG240" s="30"/>
      <c r="AH240" s="78"/>
      <c r="AI240" s="72"/>
      <c r="AJ240" s="78"/>
      <c r="AK240" s="73"/>
      <c r="AL240" s="73"/>
      <c r="AM240" s="73"/>
      <c r="AN240" s="73"/>
      <c r="AO240" s="73"/>
      <c r="AP240" s="73"/>
    </row>
    <row r="241">
      <c r="A241" s="76"/>
      <c r="B241" s="30"/>
      <c r="C241" s="30"/>
      <c r="D241" s="30"/>
      <c r="E241" s="30"/>
      <c r="F241" s="30"/>
      <c r="G241" s="69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70"/>
      <c r="AF241" s="71"/>
      <c r="AG241" s="30"/>
      <c r="AH241" s="78"/>
      <c r="AI241" s="72"/>
      <c r="AJ241" s="78"/>
      <c r="AK241" s="73"/>
      <c r="AL241" s="73"/>
      <c r="AM241" s="73"/>
      <c r="AN241" s="73"/>
      <c r="AO241" s="73"/>
      <c r="AP241" s="73"/>
    </row>
    <row r="242">
      <c r="A242" s="76"/>
      <c r="B242" s="30"/>
      <c r="C242" s="30"/>
      <c r="D242" s="30"/>
      <c r="E242" s="30"/>
      <c r="F242" s="30"/>
      <c r="G242" s="69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70"/>
      <c r="AF242" s="71"/>
      <c r="AG242" s="30"/>
      <c r="AH242" s="78"/>
      <c r="AI242" s="72"/>
      <c r="AJ242" s="78"/>
      <c r="AK242" s="73"/>
      <c r="AL242" s="73"/>
      <c r="AM242" s="73"/>
      <c r="AN242" s="73"/>
      <c r="AO242" s="73"/>
      <c r="AP242" s="73"/>
    </row>
    <row r="243">
      <c r="A243" s="76"/>
      <c r="B243" s="30"/>
      <c r="C243" s="30"/>
      <c r="D243" s="30"/>
      <c r="E243" s="30"/>
      <c r="F243" s="30"/>
      <c r="G243" s="69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70"/>
      <c r="AF243" s="71"/>
      <c r="AG243" s="30"/>
      <c r="AH243" s="78"/>
      <c r="AI243" s="72"/>
      <c r="AJ243" s="78"/>
      <c r="AK243" s="73"/>
      <c r="AL243" s="73"/>
      <c r="AM243" s="73"/>
      <c r="AN243" s="73"/>
      <c r="AO243" s="73"/>
      <c r="AP243" s="73"/>
    </row>
    <row r="244">
      <c r="A244" s="76"/>
      <c r="B244" s="30"/>
      <c r="C244" s="30"/>
      <c r="D244" s="30"/>
      <c r="E244" s="30"/>
      <c r="F244" s="30"/>
      <c r="G244" s="69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70"/>
      <c r="AF244" s="71"/>
      <c r="AG244" s="30"/>
      <c r="AH244" s="78"/>
      <c r="AI244" s="72"/>
      <c r="AJ244" s="78"/>
      <c r="AK244" s="73"/>
      <c r="AL244" s="73"/>
      <c r="AM244" s="73"/>
      <c r="AN244" s="73"/>
      <c r="AO244" s="73"/>
      <c r="AP244" s="73"/>
    </row>
    <row r="245">
      <c r="A245" s="76"/>
      <c r="B245" s="30"/>
      <c r="C245" s="30"/>
      <c r="D245" s="30"/>
      <c r="E245" s="30"/>
      <c r="F245" s="30"/>
      <c r="G245" s="69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70"/>
      <c r="AF245" s="71"/>
      <c r="AG245" s="30"/>
      <c r="AH245" s="78"/>
      <c r="AI245" s="72"/>
      <c r="AJ245" s="78"/>
      <c r="AK245" s="73"/>
      <c r="AL245" s="73"/>
      <c r="AM245" s="73"/>
      <c r="AN245" s="73"/>
      <c r="AO245" s="73"/>
      <c r="AP245" s="73"/>
    </row>
    <row r="246">
      <c r="A246" s="76"/>
      <c r="B246" s="30"/>
      <c r="C246" s="30"/>
      <c r="D246" s="30"/>
      <c r="E246" s="30"/>
      <c r="F246" s="30"/>
      <c r="G246" s="69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70"/>
      <c r="AF246" s="71"/>
      <c r="AG246" s="30"/>
      <c r="AH246" s="78"/>
      <c r="AI246" s="72"/>
      <c r="AJ246" s="78"/>
      <c r="AK246" s="73"/>
      <c r="AL246" s="73"/>
      <c r="AM246" s="73"/>
      <c r="AN246" s="73"/>
      <c r="AO246" s="73"/>
      <c r="AP246" s="73"/>
    </row>
    <row r="247">
      <c r="A247" s="76"/>
      <c r="B247" s="30"/>
      <c r="C247" s="30"/>
      <c r="D247" s="30"/>
      <c r="E247" s="30"/>
      <c r="F247" s="30"/>
      <c r="G247" s="69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70"/>
      <c r="AF247" s="71"/>
      <c r="AG247" s="30"/>
      <c r="AH247" s="78"/>
      <c r="AI247" s="72"/>
      <c r="AJ247" s="78"/>
      <c r="AK247" s="73"/>
      <c r="AL247" s="73"/>
      <c r="AM247" s="73"/>
      <c r="AN247" s="73"/>
      <c r="AO247" s="73"/>
      <c r="AP247" s="73"/>
    </row>
    <row r="248">
      <c r="A248" s="76"/>
      <c r="B248" s="30"/>
      <c r="C248" s="30"/>
      <c r="D248" s="30"/>
      <c r="E248" s="30"/>
      <c r="F248" s="30"/>
      <c r="G248" s="69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70"/>
      <c r="AF248" s="71"/>
      <c r="AG248" s="30"/>
      <c r="AH248" s="78"/>
      <c r="AI248" s="72"/>
      <c r="AJ248" s="78"/>
      <c r="AK248" s="73"/>
      <c r="AL248" s="73"/>
      <c r="AM248" s="73"/>
      <c r="AN248" s="73"/>
      <c r="AO248" s="73"/>
      <c r="AP248" s="73"/>
    </row>
    <row r="249">
      <c r="A249" s="76"/>
      <c r="B249" s="30"/>
      <c r="C249" s="30"/>
      <c r="D249" s="30"/>
      <c r="E249" s="30"/>
      <c r="F249" s="30"/>
      <c r="G249" s="69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70"/>
      <c r="AF249" s="71"/>
      <c r="AG249" s="30"/>
      <c r="AH249" s="78"/>
      <c r="AI249" s="72"/>
      <c r="AJ249" s="78"/>
      <c r="AK249" s="73"/>
      <c r="AL249" s="73"/>
      <c r="AM249" s="73"/>
      <c r="AN249" s="73"/>
      <c r="AO249" s="73"/>
      <c r="AP249" s="73"/>
    </row>
    <row r="250">
      <c r="A250" s="76"/>
      <c r="B250" s="30"/>
      <c r="C250" s="30"/>
      <c r="D250" s="30"/>
      <c r="E250" s="30"/>
      <c r="F250" s="30"/>
      <c r="G250" s="69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70"/>
      <c r="AF250" s="71"/>
      <c r="AG250" s="30"/>
      <c r="AH250" s="78"/>
      <c r="AI250" s="72"/>
      <c r="AJ250" s="78"/>
      <c r="AK250" s="73"/>
      <c r="AL250" s="73"/>
      <c r="AM250" s="73"/>
      <c r="AN250" s="73"/>
      <c r="AO250" s="73"/>
      <c r="AP250" s="73"/>
    </row>
    <row r="251">
      <c r="A251" s="76"/>
      <c r="B251" s="30"/>
      <c r="C251" s="30"/>
      <c r="D251" s="30"/>
      <c r="E251" s="30"/>
      <c r="F251" s="30"/>
      <c r="G251" s="69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70"/>
      <c r="AF251" s="71"/>
      <c r="AG251" s="30"/>
      <c r="AH251" s="78"/>
      <c r="AI251" s="72"/>
      <c r="AJ251" s="78"/>
      <c r="AK251" s="73"/>
      <c r="AL251" s="73"/>
      <c r="AM251" s="73"/>
      <c r="AN251" s="73"/>
      <c r="AO251" s="73"/>
      <c r="AP251" s="73"/>
    </row>
    <row r="252">
      <c r="A252" s="76"/>
      <c r="B252" s="30"/>
      <c r="C252" s="30"/>
      <c r="D252" s="30"/>
      <c r="E252" s="30"/>
      <c r="F252" s="30"/>
      <c r="G252" s="69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70"/>
      <c r="AF252" s="71"/>
      <c r="AG252" s="30"/>
      <c r="AH252" s="78"/>
      <c r="AI252" s="72"/>
      <c r="AJ252" s="78"/>
      <c r="AK252" s="73"/>
      <c r="AL252" s="73"/>
      <c r="AM252" s="73"/>
      <c r="AN252" s="73"/>
      <c r="AO252" s="73"/>
      <c r="AP252" s="73"/>
    </row>
    <row r="253">
      <c r="A253" s="76"/>
      <c r="B253" s="30"/>
      <c r="C253" s="30"/>
      <c r="D253" s="30"/>
      <c r="E253" s="30"/>
      <c r="F253" s="30"/>
      <c r="G253" s="69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70"/>
      <c r="AF253" s="71"/>
      <c r="AG253" s="30"/>
      <c r="AH253" s="78"/>
      <c r="AI253" s="72"/>
      <c r="AJ253" s="78"/>
      <c r="AK253" s="73"/>
      <c r="AL253" s="73"/>
      <c r="AM253" s="73"/>
      <c r="AN253" s="73"/>
      <c r="AO253" s="73"/>
      <c r="AP253" s="73"/>
    </row>
    <row r="254">
      <c r="A254" s="76"/>
      <c r="B254" s="30"/>
      <c r="C254" s="30"/>
      <c r="D254" s="30"/>
      <c r="E254" s="30"/>
      <c r="F254" s="30"/>
      <c r="G254" s="69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70"/>
      <c r="AF254" s="71"/>
      <c r="AG254" s="30"/>
      <c r="AH254" s="78"/>
      <c r="AI254" s="72"/>
      <c r="AJ254" s="78"/>
      <c r="AK254" s="73"/>
      <c r="AL254" s="73"/>
      <c r="AM254" s="73"/>
      <c r="AN254" s="73"/>
      <c r="AO254" s="73"/>
      <c r="AP254" s="73"/>
    </row>
    <row r="255">
      <c r="A255" s="76"/>
      <c r="B255" s="30"/>
      <c r="C255" s="30"/>
      <c r="D255" s="30"/>
      <c r="E255" s="30"/>
      <c r="F255" s="30"/>
      <c r="G255" s="69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70"/>
      <c r="AF255" s="71"/>
      <c r="AG255" s="30"/>
      <c r="AH255" s="78"/>
      <c r="AI255" s="72"/>
      <c r="AJ255" s="78"/>
      <c r="AK255" s="73"/>
      <c r="AL255" s="73"/>
      <c r="AM255" s="73"/>
      <c r="AN255" s="73"/>
      <c r="AO255" s="73"/>
      <c r="AP255" s="73"/>
    </row>
    <row r="256">
      <c r="A256" s="76"/>
      <c r="B256" s="30"/>
      <c r="C256" s="30"/>
      <c r="D256" s="30"/>
      <c r="E256" s="30"/>
      <c r="F256" s="30"/>
      <c r="G256" s="69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70"/>
      <c r="AF256" s="71"/>
      <c r="AG256" s="30"/>
      <c r="AH256" s="78"/>
      <c r="AI256" s="72"/>
      <c r="AJ256" s="78"/>
      <c r="AK256" s="73"/>
      <c r="AL256" s="73"/>
      <c r="AM256" s="73"/>
      <c r="AN256" s="73"/>
      <c r="AO256" s="73"/>
      <c r="AP256" s="73"/>
    </row>
    <row r="257">
      <c r="A257" s="76"/>
      <c r="B257" s="30"/>
      <c r="C257" s="30"/>
      <c r="D257" s="30"/>
      <c r="E257" s="30"/>
      <c r="F257" s="30"/>
      <c r="G257" s="69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70"/>
      <c r="AF257" s="71"/>
      <c r="AG257" s="30"/>
      <c r="AH257" s="78"/>
      <c r="AI257" s="72"/>
      <c r="AJ257" s="78"/>
      <c r="AK257" s="73"/>
      <c r="AL257" s="73"/>
      <c r="AM257" s="73"/>
      <c r="AN257" s="73"/>
      <c r="AO257" s="73"/>
      <c r="AP257" s="73"/>
    </row>
    <row r="258">
      <c r="A258" s="76"/>
      <c r="B258" s="30"/>
      <c r="C258" s="30"/>
      <c r="D258" s="30"/>
      <c r="E258" s="30"/>
      <c r="F258" s="30"/>
      <c r="G258" s="69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70"/>
      <c r="AF258" s="71"/>
      <c r="AG258" s="30"/>
      <c r="AH258" s="78"/>
      <c r="AI258" s="72"/>
      <c r="AJ258" s="78"/>
      <c r="AK258" s="73"/>
      <c r="AL258" s="73"/>
      <c r="AM258" s="73"/>
      <c r="AN258" s="73"/>
      <c r="AO258" s="73"/>
      <c r="AP258" s="73"/>
    </row>
    <row r="259">
      <c r="A259" s="76"/>
      <c r="B259" s="30"/>
      <c r="C259" s="30"/>
      <c r="D259" s="30"/>
      <c r="E259" s="30"/>
      <c r="F259" s="30"/>
      <c r="G259" s="69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70"/>
      <c r="AF259" s="71"/>
      <c r="AG259" s="30"/>
      <c r="AH259" s="78"/>
      <c r="AI259" s="72"/>
      <c r="AJ259" s="78"/>
      <c r="AK259" s="73"/>
      <c r="AL259" s="73"/>
      <c r="AM259" s="73"/>
      <c r="AN259" s="73"/>
      <c r="AO259" s="73"/>
      <c r="AP259" s="73"/>
    </row>
    <row r="260">
      <c r="A260" s="76"/>
      <c r="B260" s="30"/>
      <c r="C260" s="30"/>
      <c r="D260" s="30"/>
      <c r="E260" s="30"/>
      <c r="F260" s="30"/>
      <c r="G260" s="69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70"/>
      <c r="AF260" s="71"/>
      <c r="AG260" s="30"/>
      <c r="AH260" s="78"/>
      <c r="AI260" s="72"/>
      <c r="AJ260" s="78"/>
      <c r="AK260" s="73"/>
      <c r="AL260" s="73"/>
      <c r="AM260" s="73"/>
      <c r="AN260" s="73"/>
      <c r="AO260" s="73"/>
      <c r="AP260" s="73"/>
    </row>
    <row r="261">
      <c r="A261" s="76"/>
      <c r="B261" s="30"/>
      <c r="C261" s="30"/>
      <c r="D261" s="30"/>
      <c r="E261" s="30"/>
      <c r="F261" s="30"/>
      <c r="G261" s="69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70"/>
      <c r="AF261" s="71"/>
      <c r="AG261" s="30"/>
      <c r="AH261" s="78"/>
      <c r="AI261" s="72"/>
      <c r="AJ261" s="78"/>
      <c r="AK261" s="73"/>
      <c r="AL261" s="73"/>
      <c r="AM261" s="73"/>
      <c r="AN261" s="73"/>
      <c r="AO261" s="73"/>
      <c r="AP261" s="73"/>
    </row>
    <row r="262">
      <c r="A262" s="76"/>
      <c r="B262" s="30"/>
      <c r="C262" s="30"/>
      <c r="D262" s="30"/>
      <c r="E262" s="30"/>
      <c r="F262" s="30"/>
      <c r="G262" s="69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70"/>
      <c r="AF262" s="71"/>
      <c r="AG262" s="30"/>
      <c r="AH262" s="78"/>
      <c r="AI262" s="72"/>
      <c r="AJ262" s="78"/>
      <c r="AK262" s="73"/>
      <c r="AL262" s="73"/>
      <c r="AM262" s="73"/>
      <c r="AN262" s="73"/>
      <c r="AO262" s="73"/>
      <c r="AP262" s="73"/>
    </row>
    <row r="263">
      <c r="A263" s="76"/>
      <c r="B263" s="30"/>
      <c r="C263" s="30"/>
      <c r="D263" s="30"/>
      <c r="E263" s="30"/>
      <c r="F263" s="30"/>
      <c r="G263" s="69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70"/>
      <c r="AF263" s="71"/>
      <c r="AG263" s="30"/>
      <c r="AH263" s="78"/>
      <c r="AI263" s="72"/>
      <c r="AJ263" s="78"/>
      <c r="AK263" s="73"/>
      <c r="AL263" s="73"/>
      <c r="AM263" s="73"/>
      <c r="AN263" s="73"/>
      <c r="AO263" s="73"/>
      <c r="AP263" s="73"/>
    </row>
    <row r="264">
      <c r="A264" s="76"/>
      <c r="B264" s="30"/>
      <c r="C264" s="30"/>
      <c r="D264" s="30"/>
      <c r="E264" s="30"/>
      <c r="F264" s="30"/>
      <c r="G264" s="69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70"/>
      <c r="AF264" s="71"/>
      <c r="AG264" s="30"/>
      <c r="AH264" s="78"/>
      <c r="AI264" s="72"/>
      <c r="AJ264" s="78"/>
      <c r="AK264" s="73"/>
      <c r="AL264" s="73"/>
      <c r="AM264" s="73"/>
      <c r="AN264" s="73"/>
      <c r="AO264" s="73"/>
      <c r="AP264" s="73"/>
    </row>
    <row r="265">
      <c r="A265" s="76"/>
      <c r="B265" s="30"/>
      <c r="C265" s="30"/>
      <c r="D265" s="30"/>
      <c r="E265" s="30"/>
      <c r="F265" s="30"/>
      <c r="G265" s="69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70"/>
      <c r="AF265" s="71"/>
      <c r="AG265" s="30"/>
      <c r="AH265" s="78"/>
      <c r="AI265" s="72"/>
      <c r="AJ265" s="78"/>
      <c r="AK265" s="73"/>
      <c r="AL265" s="73"/>
      <c r="AM265" s="73"/>
      <c r="AN265" s="73"/>
      <c r="AO265" s="73"/>
      <c r="AP265" s="73"/>
    </row>
    <row r="266">
      <c r="A266" s="76"/>
      <c r="B266" s="30"/>
      <c r="C266" s="30"/>
      <c r="D266" s="30"/>
      <c r="E266" s="30"/>
      <c r="F266" s="30"/>
      <c r="G266" s="69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70"/>
      <c r="AF266" s="71"/>
      <c r="AG266" s="30"/>
      <c r="AH266" s="78"/>
      <c r="AI266" s="72"/>
      <c r="AJ266" s="78"/>
      <c r="AK266" s="73"/>
      <c r="AL266" s="73"/>
      <c r="AM266" s="73"/>
      <c r="AN266" s="73"/>
      <c r="AO266" s="73"/>
      <c r="AP266" s="73"/>
    </row>
    <row r="267">
      <c r="A267" s="76"/>
      <c r="B267" s="30"/>
      <c r="C267" s="30"/>
      <c r="D267" s="30"/>
      <c r="E267" s="30"/>
      <c r="F267" s="30"/>
      <c r="G267" s="69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70"/>
      <c r="AF267" s="71"/>
      <c r="AG267" s="30"/>
      <c r="AH267" s="78"/>
      <c r="AI267" s="72"/>
      <c r="AJ267" s="78"/>
      <c r="AK267" s="73"/>
      <c r="AL267" s="73"/>
      <c r="AM267" s="73"/>
      <c r="AN267" s="73"/>
      <c r="AO267" s="73"/>
      <c r="AP267" s="73"/>
    </row>
    <row r="268">
      <c r="A268" s="76"/>
      <c r="B268" s="30"/>
      <c r="C268" s="30"/>
      <c r="D268" s="30"/>
      <c r="E268" s="30"/>
      <c r="F268" s="30"/>
      <c r="G268" s="69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70"/>
      <c r="AF268" s="71"/>
      <c r="AG268" s="30"/>
      <c r="AH268" s="78"/>
      <c r="AI268" s="72"/>
      <c r="AJ268" s="78"/>
      <c r="AK268" s="73"/>
      <c r="AL268" s="73"/>
      <c r="AM268" s="73"/>
      <c r="AN268" s="73"/>
      <c r="AO268" s="73"/>
      <c r="AP268" s="73"/>
    </row>
    <row r="269">
      <c r="A269" s="76"/>
      <c r="B269" s="30"/>
      <c r="C269" s="30"/>
      <c r="D269" s="30"/>
      <c r="E269" s="30"/>
      <c r="F269" s="30"/>
      <c r="G269" s="69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70"/>
      <c r="AF269" s="71"/>
      <c r="AG269" s="30"/>
      <c r="AH269" s="78"/>
      <c r="AI269" s="72"/>
      <c r="AJ269" s="78"/>
      <c r="AK269" s="73"/>
      <c r="AL269" s="73"/>
      <c r="AM269" s="73"/>
      <c r="AN269" s="73"/>
      <c r="AO269" s="73"/>
      <c r="AP269" s="73"/>
    </row>
    <row r="270">
      <c r="A270" s="76"/>
      <c r="B270" s="30"/>
      <c r="C270" s="30"/>
      <c r="D270" s="30"/>
      <c r="E270" s="30"/>
      <c r="F270" s="30"/>
      <c r="G270" s="69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70"/>
      <c r="AF270" s="71"/>
      <c r="AG270" s="30"/>
      <c r="AH270" s="78"/>
      <c r="AI270" s="72"/>
      <c r="AJ270" s="78"/>
      <c r="AK270" s="73"/>
      <c r="AL270" s="73"/>
      <c r="AM270" s="73"/>
      <c r="AN270" s="73"/>
      <c r="AO270" s="73"/>
      <c r="AP270" s="73"/>
    </row>
    <row r="271">
      <c r="A271" s="76"/>
      <c r="B271" s="30"/>
      <c r="C271" s="30"/>
      <c r="D271" s="30"/>
      <c r="E271" s="30"/>
      <c r="F271" s="30"/>
      <c r="G271" s="69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70"/>
      <c r="AF271" s="71"/>
      <c r="AG271" s="30"/>
      <c r="AH271" s="78"/>
      <c r="AI271" s="72"/>
      <c r="AJ271" s="78"/>
      <c r="AK271" s="73"/>
      <c r="AL271" s="73"/>
      <c r="AM271" s="73"/>
      <c r="AN271" s="73"/>
      <c r="AO271" s="73"/>
      <c r="AP271" s="73"/>
    </row>
    <row r="272">
      <c r="A272" s="76"/>
      <c r="B272" s="30"/>
      <c r="C272" s="30"/>
      <c r="D272" s="30"/>
      <c r="E272" s="30"/>
      <c r="F272" s="30"/>
      <c r="G272" s="69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70"/>
      <c r="AF272" s="71"/>
      <c r="AG272" s="30"/>
      <c r="AH272" s="78"/>
      <c r="AI272" s="72"/>
      <c r="AJ272" s="78"/>
      <c r="AK272" s="73"/>
      <c r="AL272" s="73"/>
      <c r="AM272" s="73"/>
      <c r="AN272" s="73"/>
      <c r="AO272" s="73"/>
      <c r="AP272" s="73"/>
    </row>
    <row r="273">
      <c r="A273" s="76"/>
      <c r="B273" s="30"/>
      <c r="C273" s="30"/>
      <c r="D273" s="30"/>
      <c r="E273" s="30"/>
      <c r="F273" s="30"/>
      <c r="G273" s="69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70"/>
      <c r="AF273" s="71"/>
      <c r="AG273" s="30"/>
      <c r="AH273" s="78"/>
      <c r="AI273" s="72"/>
      <c r="AJ273" s="78"/>
      <c r="AK273" s="73"/>
      <c r="AL273" s="73"/>
      <c r="AM273" s="73"/>
      <c r="AN273" s="73"/>
      <c r="AO273" s="73"/>
      <c r="AP273" s="73"/>
    </row>
    <row r="274">
      <c r="A274" s="76"/>
      <c r="B274" s="30"/>
      <c r="C274" s="30"/>
      <c r="D274" s="30"/>
      <c r="E274" s="30"/>
      <c r="F274" s="30"/>
      <c r="G274" s="69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70"/>
      <c r="AF274" s="71"/>
      <c r="AG274" s="30"/>
      <c r="AH274" s="78"/>
      <c r="AI274" s="72"/>
      <c r="AJ274" s="78"/>
      <c r="AK274" s="73"/>
      <c r="AL274" s="73"/>
      <c r="AM274" s="73"/>
      <c r="AN274" s="73"/>
      <c r="AO274" s="73"/>
      <c r="AP274" s="73"/>
    </row>
    <row r="275">
      <c r="A275" s="76"/>
      <c r="B275" s="30"/>
      <c r="C275" s="30"/>
      <c r="D275" s="30"/>
      <c r="E275" s="30"/>
      <c r="F275" s="30"/>
      <c r="G275" s="69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70"/>
      <c r="AF275" s="71"/>
      <c r="AG275" s="30"/>
      <c r="AH275" s="78"/>
      <c r="AI275" s="72"/>
      <c r="AJ275" s="78"/>
      <c r="AK275" s="73"/>
      <c r="AL275" s="73"/>
      <c r="AM275" s="73"/>
      <c r="AN275" s="73"/>
      <c r="AO275" s="73"/>
      <c r="AP275" s="73"/>
    </row>
    <row r="276">
      <c r="A276" s="76"/>
      <c r="B276" s="30"/>
      <c r="C276" s="30"/>
      <c r="D276" s="30"/>
      <c r="E276" s="30"/>
      <c r="F276" s="30"/>
      <c r="G276" s="69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70"/>
      <c r="AF276" s="71"/>
      <c r="AG276" s="30"/>
      <c r="AH276" s="78"/>
      <c r="AI276" s="72"/>
      <c r="AJ276" s="78"/>
      <c r="AK276" s="73"/>
      <c r="AL276" s="73"/>
      <c r="AM276" s="73"/>
      <c r="AN276" s="73"/>
      <c r="AO276" s="73"/>
      <c r="AP276" s="73"/>
    </row>
    <row r="277">
      <c r="A277" s="76"/>
      <c r="B277" s="30"/>
      <c r="C277" s="30"/>
      <c r="D277" s="30"/>
      <c r="E277" s="30"/>
      <c r="F277" s="30"/>
      <c r="G277" s="69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70"/>
      <c r="AF277" s="71"/>
      <c r="AG277" s="30"/>
      <c r="AH277" s="78"/>
      <c r="AI277" s="72"/>
      <c r="AJ277" s="78"/>
      <c r="AK277" s="73"/>
      <c r="AL277" s="73"/>
      <c r="AM277" s="73"/>
      <c r="AN277" s="73"/>
      <c r="AO277" s="73"/>
      <c r="AP277" s="73"/>
    </row>
    <row r="278">
      <c r="A278" s="76"/>
      <c r="B278" s="30"/>
      <c r="C278" s="30"/>
      <c r="D278" s="30"/>
      <c r="E278" s="30"/>
      <c r="F278" s="30"/>
      <c r="G278" s="69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70"/>
      <c r="AF278" s="71"/>
      <c r="AG278" s="30"/>
      <c r="AH278" s="78"/>
      <c r="AI278" s="72"/>
      <c r="AJ278" s="78"/>
      <c r="AK278" s="73"/>
      <c r="AL278" s="73"/>
      <c r="AM278" s="73"/>
      <c r="AN278" s="73"/>
      <c r="AO278" s="73"/>
      <c r="AP278" s="73"/>
    </row>
    <row r="279">
      <c r="A279" s="76"/>
      <c r="B279" s="30"/>
      <c r="C279" s="30"/>
      <c r="D279" s="30"/>
      <c r="E279" s="30"/>
      <c r="F279" s="30"/>
      <c r="G279" s="69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70"/>
      <c r="AF279" s="71"/>
      <c r="AG279" s="30"/>
      <c r="AH279" s="78"/>
      <c r="AI279" s="72"/>
      <c r="AJ279" s="78"/>
      <c r="AK279" s="73"/>
      <c r="AL279" s="73"/>
      <c r="AM279" s="73"/>
      <c r="AN279" s="73"/>
      <c r="AO279" s="73"/>
      <c r="AP279" s="73"/>
    </row>
    <row r="280">
      <c r="A280" s="76"/>
      <c r="B280" s="30"/>
      <c r="C280" s="30"/>
      <c r="D280" s="30"/>
      <c r="E280" s="30"/>
      <c r="F280" s="30"/>
      <c r="G280" s="69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70"/>
      <c r="AF280" s="71"/>
      <c r="AG280" s="30"/>
      <c r="AH280" s="78"/>
      <c r="AI280" s="72"/>
      <c r="AJ280" s="78"/>
      <c r="AK280" s="73"/>
      <c r="AL280" s="73"/>
      <c r="AM280" s="73"/>
      <c r="AN280" s="73"/>
      <c r="AO280" s="73"/>
      <c r="AP280" s="73"/>
    </row>
    <row r="281">
      <c r="A281" s="76"/>
      <c r="B281" s="30"/>
      <c r="C281" s="30"/>
      <c r="D281" s="30"/>
      <c r="E281" s="30"/>
      <c r="F281" s="30"/>
      <c r="G281" s="69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70"/>
      <c r="AF281" s="71"/>
      <c r="AG281" s="30"/>
      <c r="AH281" s="78"/>
      <c r="AI281" s="72"/>
      <c r="AJ281" s="78"/>
      <c r="AK281" s="73"/>
      <c r="AL281" s="73"/>
      <c r="AM281" s="73"/>
      <c r="AN281" s="73"/>
      <c r="AO281" s="73"/>
      <c r="AP281" s="73"/>
    </row>
    <row r="282">
      <c r="A282" s="76"/>
      <c r="B282" s="30"/>
      <c r="C282" s="30"/>
      <c r="D282" s="30"/>
      <c r="E282" s="30"/>
      <c r="F282" s="30"/>
      <c r="G282" s="69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70"/>
      <c r="AF282" s="71"/>
      <c r="AG282" s="30"/>
      <c r="AH282" s="78"/>
      <c r="AI282" s="72"/>
      <c r="AJ282" s="78"/>
      <c r="AK282" s="73"/>
      <c r="AL282" s="73"/>
      <c r="AM282" s="73"/>
      <c r="AN282" s="73"/>
      <c r="AO282" s="73"/>
      <c r="AP282" s="73"/>
    </row>
    <row r="283">
      <c r="A283" s="76"/>
      <c r="B283" s="30"/>
      <c r="C283" s="30"/>
      <c r="D283" s="30"/>
      <c r="E283" s="30"/>
      <c r="F283" s="30"/>
      <c r="G283" s="69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70"/>
      <c r="AF283" s="71"/>
      <c r="AG283" s="30"/>
      <c r="AH283" s="78"/>
      <c r="AI283" s="72"/>
      <c r="AJ283" s="78"/>
      <c r="AK283" s="73"/>
      <c r="AL283" s="73"/>
      <c r="AM283" s="73"/>
      <c r="AN283" s="73"/>
      <c r="AO283" s="73"/>
      <c r="AP283" s="73"/>
    </row>
    <row r="284">
      <c r="A284" s="76"/>
      <c r="B284" s="30"/>
      <c r="C284" s="30"/>
      <c r="D284" s="30"/>
      <c r="E284" s="30"/>
      <c r="F284" s="30"/>
      <c r="G284" s="69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70"/>
      <c r="AF284" s="71"/>
      <c r="AG284" s="30"/>
      <c r="AH284" s="78"/>
      <c r="AI284" s="72"/>
      <c r="AJ284" s="78"/>
      <c r="AK284" s="73"/>
      <c r="AL284" s="73"/>
      <c r="AM284" s="73"/>
      <c r="AN284" s="73"/>
      <c r="AO284" s="73"/>
      <c r="AP284" s="73"/>
    </row>
    <row r="285">
      <c r="A285" s="76"/>
      <c r="B285" s="30"/>
      <c r="C285" s="30"/>
      <c r="D285" s="30"/>
      <c r="E285" s="30"/>
      <c r="F285" s="30"/>
      <c r="G285" s="69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70"/>
      <c r="AF285" s="71"/>
      <c r="AG285" s="30"/>
      <c r="AH285" s="78"/>
      <c r="AI285" s="72"/>
      <c r="AJ285" s="78"/>
      <c r="AK285" s="73"/>
      <c r="AL285" s="73"/>
      <c r="AM285" s="73"/>
      <c r="AN285" s="73"/>
      <c r="AO285" s="73"/>
      <c r="AP285" s="73"/>
    </row>
    <row r="286">
      <c r="A286" s="76"/>
      <c r="B286" s="30"/>
      <c r="C286" s="30"/>
      <c r="D286" s="30"/>
      <c r="E286" s="30"/>
      <c r="F286" s="30"/>
      <c r="G286" s="69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70"/>
      <c r="AF286" s="71"/>
      <c r="AG286" s="30"/>
      <c r="AH286" s="78"/>
      <c r="AI286" s="72"/>
      <c r="AJ286" s="78"/>
      <c r="AK286" s="73"/>
      <c r="AL286" s="73"/>
      <c r="AM286" s="73"/>
      <c r="AN286" s="73"/>
      <c r="AO286" s="73"/>
      <c r="AP286" s="73"/>
    </row>
    <row r="287">
      <c r="A287" s="76"/>
      <c r="B287" s="30"/>
      <c r="C287" s="30"/>
      <c r="D287" s="30"/>
      <c r="E287" s="30"/>
      <c r="F287" s="30"/>
      <c r="G287" s="69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70"/>
      <c r="AF287" s="71"/>
      <c r="AG287" s="30"/>
      <c r="AH287" s="78"/>
      <c r="AI287" s="72"/>
      <c r="AJ287" s="78"/>
      <c r="AK287" s="73"/>
      <c r="AL287" s="73"/>
      <c r="AM287" s="73"/>
      <c r="AN287" s="73"/>
      <c r="AO287" s="73"/>
      <c r="AP287" s="73"/>
    </row>
    <row r="288">
      <c r="A288" s="76"/>
      <c r="B288" s="30"/>
      <c r="C288" s="30"/>
      <c r="D288" s="30"/>
      <c r="E288" s="30"/>
      <c r="F288" s="30"/>
      <c r="G288" s="69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70"/>
      <c r="AF288" s="71"/>
      <c r="AG288" s="30"/>
      <c r="AH288" s="78"/>
      <c r="AI288" s="72"/>
      <c r="AJ288" s="78"/>
      <c r="AK288" s="73"/>
      <c r="AL288" s="73"/>
      <c r="AM288" s="73"/>
      <c r="AN288" s="73"/>
      <c r="AO288" s="73"/>
      <c r="AP288" s="73"/>
    </row>
    <row r="289">
      <c r="A289" s="76"/>
      <c r="B289" s="30"/>
      <c r="C289" s="30"/>
      <c r="D289" s="30"/>
      <c r="E289" s="30"/>
      <c r="F289" s="30"/>
      <c r="G289" s="69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70"/>
      <c r="AF289" s="71"/>
      <c r="AG289" s="30"/>
      <c r="AH289" s="78"/>
      <c r="AI289" s="72"/>
      <c r="AJ289" s="78"/>
      <c r="AK289" s="73"/>
      <c r="AL289" s="73"/>
      <c r="AM289" s="73"/>
      <c r="AN289" s="73"/>
      <c r="AO289" s="73"/>
      <c r="AP289" s="73"/>
    </row>
    <row r="290">
      <c r="A290" s="76"/>
      <c r="B290" s="30"/>
      <c r="C290" s="30"/>
      <c r="D290" s="30"/>
      <c r="E290" s="30"/>
      <c r="F290" s="30"/>
      <c r="G290" s="69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70"/>
      <c r="AF290" s="71"/>
      <c r="AG290" s="30"/>
      <c r="AH290" s="78"/>
      <c r="AI290" s="72"/>
      <c r="AJ290" s="78"/>
      <c r="AK290" s="73"/>
      <c r="AL290" s="73"/>
      <c r="AM290" s="73"/>
      <c r="AN290" s="73"/>
      <c r="AO290" s="73"/>
      <c r="AP290" s="73"/>
    </row>
    <row r="291">
      <c r="A291" s="76"/>
      <c r="B291" s="30"/>
      <c r="C291" s="30"/>
      <c r="D291" s="30"/>
      <c r="E291" s="30"/>
      <c r="F291" s="30"/>
      <c r="G291" s="69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70"/>
      <c r="AF291" s="71"/>
      <c r="AG291" s="30"/>
      <c r="AH291" s="78"/>
      <c r="AI291" s="72"/>
      <c r="AJ291" s="78"/>
      <c r="AK291" s="73"/>
      <c r="AL291" s="73"/>
      <c r="AM291" s="73"/>
      <c r="AN291" s="73"/>
      <c r="AO291" s="73"/>
      <c r="AP291" s="73"/>
    </row>
    <row r="292">
      <c r="A292" s="76"/>
      <c r="B292" s="30"/>
      <c r="C292" s="30"/>
      <c r="D292" s="30"/>
      <c r="E292" s="30"/>
      <c r="F292" s="30"/>
      <c r="G292" s="69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70"/>
      <c r="AF292" s="71"/>
      <c r="AG292" s="30"/>
      <c r="AH292" s="78"/>
      <c r="AI292" s="72"/>
      <c r="AJ292" s="78"/>
      <c r="AK292" s="73"/>
      <c r="AL292" s="73"/>
      <c r="AM292" s="73"/>
      <c r="AN292" s="73"/>
      <c r="AO292" s="73"/>
      <c r="AP292" s="73"/>
    </row>
    <row r="293">
      <c r="A293" s="76"/>
      <c r="B293" s="30"/>
      <c r="C293" s="30"/>
      <c r="D293" s="30"/>
      <c r="E293" s="30"/>
      <c r="F293" s="30"/>
      <c r="G293" s="69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70"/>
      <c r="AF293" s="71"/>
      <c r="AG293" s="30"/>
      <c r="AH293" s="78"/>
      <c r="AI293" s="72"/>
      <c r="AJ293" s="78"/>
      <c r="AK293" s="73"/>
      <c r="AL293" s="73"/>
      <c r="AM293" s="73"/>
      <c r="AN293" s="73"/>
      <c r="AO293" s="73"/>
      <c r="AP293" s="73"/>
    </row>
    <row r="294">
      <c r="A294" s="76"/>
      <c r="B294" s="30"/>
      <c r="C294" s="30"/>
      <c r="D294" s="30"/>
      <c r="E294" s="30"/>
      <c r="F294" s="30"/>
      <c r="G294" s="69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70"/>
      <c r="AF294" s="71"/>
      <c r="AG294" s="30"/>
      <c r="AH294" s="78"/>
      <c r="AI294" s="72"/>
      <c r="AJ294" s="78"/>
      <c r="AK294" s="73"/>
      <c r="AL294" s="73"/>
      <c r="AM294" s="73"/>
      <c r="AN294" s="73"/>
      <c r="AO294" s="73"/>
      <c r="AP294" s="73"/>
    </row>
    <row r="295">
      <c r="A295" s="76"/>
      <c r="B295" s="30"/>
      <c r="C295" s="30"/>
      <c r="D295" s="30"/>
      <c r="E295" s="30"/>
      <c r="F295" s="30"/>
      <c r="G295" s="69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70"/>
      <c r="AF295" s="71"/>
      <c r="AG295" s="30"/>
      <c r="AH295" s="78"/>
      <c r="AI295" s="72"/>
      <c r="AJ295" s="78"/>
      <c r="AK295" s="73"/>
      <c r="AL295" s="73"/>
      <c r="AM295" s="73"/>
      <c r="AN295" s="73"/>
      <c r="AO295" s="73"/>
      <c r="AP295" s="73"/>
    </row>
    <row r="296">
      <c r="A296" s="76"/>
      <c r="B296" s="30"/>
      <c r="C296" s="30"/>
      <c r="D296" s="30"/>
      <c r="E296" s="30"/>
      <c r="F296" s="30"/>
      <c r="G296" s="69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70"/>
      <c r="AF296" s="71"/>
      <c r="AG296" s="30"/>
      <c r="AH296" s="78"/>
      <c r="AI296" s="72"/>
      <c r="AJ296" s="78"/>
      <c r="AK296" s="73"/>
      <c r="AL296" s="73"/>
      <c r="AM296" s="73"/>
      <c r="AN296" s="73"/>
      <c r="AO296" s="73"/>
      <c r="AP296" s="73"/>
    </row>
    <row r="297">
      <c r="A297" s="76"/>
      <c r="B297" s="30"/>
      <c r="C297" s="30"/>
      <c r="D297" s="30"/>
      <c r="E297" s="30"/>
      <c r="F297" s="30"/>
      <c r="G297" s="69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70"/>
      <c r="AF297" s="71"/>
      <c r="AG297" s="30"/>
      <c r="AH297" s="78"/>
      <c r="AI297" s="72"/>
      <c r="AJ297" s="78"/>
      <c r="AK297" s="73"/>
      <c r="AL297" s="73"/>
      <c r="AM297" s="73"/>
      <c r="AN297" s="73"/>
      <c r="AO297" s="73"/>
      <c r="AP297" s="73"/>
    </row>
    <row r="298">
      <c r="A298" s="76"/>
      <c r="B298" s="30"/>
      <c r="C298" s="30"/>
      <c r="D298" s="30"/>
      <c r="E298" s="30"/>
      <c r="F298" s="30"/>
      <c r="G298" s="69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70"/>
      <c r="AF298" s="71"/>
      <c r="AG298" s="30"/>
      <c r="AH298" s="78"/>
      <c r="AI298" s="72"/>
      <c r="AJ298" s="78"/>
      <c r="AK298" s="73"/>
      <c r="AL298" s="73"/>
      <c r="AM298" s="73"/>
      <c r="AN298" s="73"/>
      <c r="AO298" s="73"/>
      <c r="AP298" s="73"/>
    </row>
    <row r="299">
      <c r="A299" s="76"/>
      <c r="B299" s="30"/>
      <c r="C299" s="30"/>
      <c r="D299" s="30"/>
      <c r="E299" s="30"/>
      <c r="F299" s="30"/>
      <c r="G299" s="69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70"/>
      <c r="AF299" s="71"/>
      <c r="AG299" s="30"/>
      <c r="AH299" s="78"/>
      <c r="AI299" s="72"/>
      <c r="AJ299" s="78"/>
      <c r="AK299" s="73"/>
      <c r="AL299" s="73"/>
      <c r="AM299" s="73"/>
      <c r="AN299" s="73"/>
      <c r="AO299" s="73"/>
      <c r="AP299" s="73"/>
    </row>
    <row r="300">
      <c r="A300" s="76"/>
      <c r="B300" s="30"/>
      <c r="C300" s="30"/>
      <c r="D300" s="30"/>
      <c r="E300" s="30"/>
      <c r="F300" s="30"/>
      <c r="G300" s="69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70"/>
      <c r="AF300" s="71"/>
      <c r="AG300" s="30"/>
      <c r="AH300" s="78"/>
      <c r="AI300" s="72"/>
      <c r="AJ300" s="78"/>
      <c r="AK300" s="73"/>
      <c r="AL300" s="73"/>
      <c r="AM300" s="73"/>
      <c r="AN300" s="73"/>
      <c r="AO300" s="73"/>
      <c r="AP300" s="73"/>
    </row>
    <row r="301">
      <c r="A301" s="76"/>
      <c r="B301" s="30"/>
      <c r="C301" s="30"/>
      <c r="D301" s="30"/>
      <c r="E301" s="30"/>
      <c r="F301" s="30"/>
      <c r="G301" s="69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70"/>
      <c r="AF301" s="71"/>
      <c r="AG301" s="30"/>
      <c r="AH301" s="78"/>
      <c r="AI301" s="72"/>
      <c r="AJ301" s="78"/>
      <c r="AK301" s="73"/>
      <c r="AL301" s="73"/>
      <c r="AM301" s="73"/>
      <c r="AN301" s="73"/>
      <c r="AO301" s="73"/>
      <c r="AP301" s="73"/>
    </row>
    <row r="302">
      <c r="A302" s="76"/>
      <c r="B302" s="30"/>
      <c r="C302" s="30"/>
      <c r="D302" s="30"/>
      <c r="E302" s="30"/>
      <c r="F302" s="30"/>
      <c r="G302" s="69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70"/>
      <c r="AF302" s="71"/>
      <c r="AG302" s="30"/>
      <c r="AH302" s="78"/>
      <c r="AI302" s="72"/>
      <c r="AJ302" s="78"/>
      <c r="AK302" s="73"/>
      <c r="AL302" s="73"/>
      <c r="AM302" s="73"/>
      <c r="AN302" s="73"/>
      <c r="AO302" s="73"/>
      <c r="AP302" s="73"/>
    </row>
    <row r="303">
      <c r="A303" s="76"/>
      <c r="B303" s="30"/>
      <c r="C303" s="30"/>
      <c r="D303" s="79"/>
      <c r="E303" s="30"/>
      <c r="F303" s="30"/>
      <c r="G303" s="69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70"/>
      <c r="AF303" s="71"/>
      <c r="AG303" s="30"/>
      <c r="AH303" s="78"/>
      <c r="AI303" s="72"/>
      <c r="AJ303" s="78"/>
      <c r="AK303" s="73"/>
      <c r="AL303" s="73"/>
      <c r="AM303" s="73"/>
      <c r="AN303" s="73"/>
      <c r="AO303" s="73"/>
      <c r="AP303" s="73"/>
    </row>
    <row r="304">
      <c r="A304" s="76"/>
      <c r="B304" s="30"/>
      <c r="C304" s="30"/>
      <c r="D304" s="30"/>
      <c r="E304" s="30"/>
      <c r="F304" s="30"/>
      <c r="G304" s="69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70"/>
      <c r="AF304" s="71"/>
      <c r="AG304" s="30"/>
      <c r="AH304" s="78"/>
      <c r="AI304" s="72"/>
      <c r="AJ304" s="78"/>
      <c r="AK304" s="73"/>
      <c r="AL304" s="73"/>
      <c r="AM304" s="73"/>
      <c r="AN304" s="73"/>
      <c r="AO304" s="73"/>
      <c r="AP304" s="73"/>
    </row>
    <row r="305">
      <c r="A305" s="76"/>
      <c r="B305" s="30"/>
      <c r="C305" s="30"/>
      <c r="D305" s="30"/>
      <c r="E305" s="30"/>
      <c r="F305" s="30"/>
      <c r="G305" s="69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70"/>
      <c r="AF305" s="71"/>
      <c r="AG305" s="30"/>
      <c r="AH305" s="78"/>
      <c r="AI305" s="72"/>
      <c r="AJ305" s="78"/>
      <c r="AK305" s="73"/>
      <c r="AL305" s="73"/>
      <c r="AM305" s="73"/>
      <c r="AN305" s="73"/>
      <c r="AO305" s="73"/>
      <c r="AP305" s="73"/>
    </row>
    <row r="306">
      <c r="A306" s="76"/>
      <c r="B306" s="30"/>
      <c r="C306" s="30"/>
      <c r="D306" s="30"/>
      <c r="E306" s="30"/>
      <c r="F306" s="30"/>
      <c r="G306" s="69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70"/>
      <c r="AF306" s="71"/>
      <c r="AG306" s="30"/>
      <c r="AH306" s="78"/>
      <c r="AI306" s="72"/>
      <c r="AJ306" s="78"/>
      <c r="AK306" s="73"/>
      <c r="AL306" s="73"/>
      <c r="AM306" s="73"/>
      <c r="AN306" s="73"/>
      <c r="AO306" s="73"/>
      <c r="AP306" s="73"/>
    </row>
    <row r="307">
      <c r="A307" s="76"/>
      <c r="B307" s="30"/>
      <c r="C307" s="30"/>
      <c r="D307" s="30"/>
      <c r="E307" s="30"/>
      <c r="F307" s="30"/>
      <c r="G307" s="69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70"/>
      <c r="AF307" s="71"/>
      <c r="AG307" s="30"/>
      <c r="AH307" s="78"/>
      <c r="AI307" s="72"/>
      <c r="AJ307" s="78"/>
      <c r="AK307" s="73"/>
      <c r="AL307" s="73"/>
      <c r="AM307" s="73"/>
      <c r="AN307" s="73"/>
      <c r="AO307" s="73"/>
      <c r="AP307" s="73"/>
    </row>
    <row r="308">
      <c r="A308" s="76"/>
      <c r="B308" s="30"/>
      <c r="C308" s="30"/>
      <c r="D308" s="30"/>
      <c r="E308" s="30"/>
      <c r="F308" s="30"/>
      <c r="G308" s="69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70"/>
      <c r="AF308" s="71"/>
      <c r="AG308" s="30"/>
      <c r="AH308" s="78"/>
      <c r="AI308" s="72"/>
      <c r="AJ308" s="78"/>
      <c r="AK308" s="73"/>
      <c r="AL308" s="73"/>
      <c r="AM308" s="73"/>
      <c r="AN308" s="73"/>
      <c r="AO308" s="73"/>
      <c r="AP308" s="73"/>
    </row>
    <row r="309">
      <c r="A309" s="76"/>
      <c r="B309" s="30"/>
      <c r="C309" s="30"/>
      <c r="D309" s="30"/>
      <c r="E309" s="30"/>
      <c r="F309" s="30"/>
      <c r="G309" s="69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70"/>
      <c r="AF309" s="71"/>
      <c r="AG309" s="30"/>
      <c r="AH309" s="78"/>
      <c r="AI309" s="72"/>
      <c r="AJ309" s="78"/>
      <c r="AK309" s="73"/>
      <c r="AL309" s="73"/>
      <c r="AM309" s="73"/>
      <c r="AN309" s="73"/>
      <c r="AO309" s="73"/>
      <c r="AP309" s="73"/>
    </row>
    <row r="310">
      <c r="A310" s="76"/>
      <c r="B310" s="30"/>
      <c r="C310" s="30"/>
      <c r="D310" s="30"/>
      <c r="E310" s="30"/>
      <c r="F310" s="30"/>
      <c r="G310" s="69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70"/>
      <c r="AF310" s="71"/>
      <c r="AG310" s="30"/>
      <c r="AH310" s="78"/>
      <c r="AI310" s="72"/>
      <c r="AJ310" s="78"/>
      <c r="AK310" s="73"/>
      <c r="AL310" s="73"/>
      <c r="AM310" s="73"/>
      <c r="AN310" s="73"/>
      <c r="AO310" s="73"/>
      <c r="AP310" s="73"/>
    </row>
    <row r="311">
      <c r="A311" s="76"/>
      <c r="B311" s="30"/>
      <c r="C311" s="30"/>
      <c r="D311" s="30"/>
      <c r="E311" s="30"/>
      <c r="F311" s="30"/>
      <c r="G311" s="69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70"/>
      <c r="AF311" s="71"/>
      <c r="AG311" s="30"/>
      <c r="AH311" s="78"/>
      <c r="AI311" s="72"/>
      <c r="AJ311" s="78"/>
      <c r="AK311" s="73"/>
      <c r="AL311" s="73"/>
      <c r="AM311" s="73"/>
      <c r="AN311" s="73"/>
      <c r="AO311" s="73"/>
      <c r="AP311" s="73"/>
    </row>
    <row r="312">
      <c r="A312" s="76"/>
      <c r="B312" s="30"/>
      <c r="C312" s="30"/>
      <c r="D312" s="30"/>
      <c r="E312" s="30"/>
      <c r="F312" s="30"/>
      <c r="G312" s="69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70"/>
      <c r="AF312" s="71"/>
      <c r="AG312" s="30"/>
      <c r="AH312" s="78"/>
      <c r="AI312" s="72"/>
      <c r="AJ312" s="78"/>
      <c r="AK312" s="73"/>
      <c r="AL312" s="73"/>
      <c r="AM312" s="73"/>
      <c r="AN312" s="73"/>
      <c r="AO312" s="73"/>
      <c r="AP312" s="73"/>
    </row>
    <row r="313">
      <c r="A313" s="76"/>
      <c r="B313" s="30"/>
      <c r="C313" s="30"/>
      <c r="D313" s="30"/>
      <c r="E313" s="30"/>
      <c r="F313" s="30"/>
      <c r="G313" s="69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70"/>
      <c r="AF313" s="71"/>
      <c r="AG313" s="30"/>
      <c r="AH313" s="78"/>
      <c r="AI313" s="72"/>
      <c r="AJ313" s="78"/>
      <c r="AK313" s="73"/>
      <c r="AL313" s="73"/>
      <c r="AM313" s="73"/>
      <c r="AN313" s="73"/>
      <c r="AO313" s="73"/>
      <c r="AP313" s="73"/>
    </row>
    <row r="314">
      <c r="A314" s="76"/>
      <c r="B314" s="30"/>
      <c r="C314" s="30"/>
      <c r="D314" s="30"/>
      <c r="E314" s="30"/>
      <c r="F314" s="30"/>
      <c r="G314" s="69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70"/>
      <c r="AF314" s="71"/>
      <c r="AG314" s="30"/>
      <c r="AH314" s="78"/>
      <c r="AI314" s="72"/>
      <c r="AJ314" s="78"/>
      <c r="AK314" s="73"/>
      <c r="AL314" s="73"/>
      <c r="AM314" s="73"/>
      <c r="AN314" s="73"/>
      <c r="AO314" s="73"/>
      <c r="AP314" s="73"/>
    </row>
    <row r="315">
      <c r="A315" s="76"/>
      <c r="B315" s="30"/>
      <c r="C315" s="30"/>
      <c r="D315" s="30"/>
      <c r="E315" s="30"/>
      <c r="F315" s="30"/>
      <c r="G315" s="69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70"/>
      <c r="AF315" s="71"/>
      <c r="AG315" s="30"/>
      <c r="AH315" s="78"/>
      <c r="AI315" s="72"/>
      <c r="AJ315" s="78"/>
      <c r="AK315" s="73"/>
      <c r="AL315" s="73"/>
      <c r="AM315" s="73"/>
      <c r="AN315" s="73"/>
      <c r="AO315" s="73"/>
      <c r="AP315" s="73"/>
    </row>
    <row r="316">
      <c r="A316" s="76"/>
      <c r="B316" s="30"/>
      <c r="C316" s="30"/>
      <c r="D316" s="30"/>
      <c r="E316" s="30"/>
      <c r="F316" s="30"/>
      <c r="G316" s="69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70"/>
      <c r="AF316" s="71"/>
      <c r="AG316" s="30"/>
      <c r="AH316" s="78"/>
      <c r="AI316" s="72"/>
      <c r="AJ316" s="78"/>
      <c r="AK316" s="73"/>
      <c r="AL316" s="73"/>
      <c r="AM316" s="73"/>
      <c r="AN316" s="73"/>
      <c r="AO316" s="73"/>
      <c r="AP316" s="73"/>
    </row>
    <row r="317">
      <c r="A317" s="76"/>
      <c r="B317" s="30"/>
      <c r="C317" s="30"/>
      <c r="D317" s="30"/>
      <c r="E317" s="30"/>
      <c r="F317" s="30"/>
      <c r="G317" s="69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70"/>
      <c r="AF317" s="71"/>
      <c r="AG317" s="30"/>
      <c r="AH317" s="78"/>
      <c r="AI317" s="72"/>
      <c r="AJ317" s="78"/>
      <c r="AK317" s="73"/>
      <c r="AL317" s="73"/>
      <c r="AM317" s="73"/>
      <c r="AN317" s="73"/>
      <c r="AO317" s="73"/>
      <c r="AP317" s="73"/>
    </row>
    <row r="318">
      <c r="A318" s="76"/>
      <c r="B318" s="30"/>
      <c r="C318" s="30"/>
      <c r="D318" s="30"/>
      <c r="E318" s="30"/>
      <c r="F318" s="30"/>
      <c r="G318" s="69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70"/>
      <c r="AF318" s="71"/>
      <c r="AG318" s="30"/>
      <c r="AH318" s="78"/>
      <c r="AI318" s="72"/>
      <c r="AJ318" s="78"/>
      <c r="AK318" s="73"/>
      <c r="AL318" s="73"/>
      <c r="AM318" s="73"/>
      <c r="AN318" s="73"/>
      <c r="AO318" s="73"/>
      <c r="AP318" s="73"/>
    </row>
    <row r="319">
      <c r="A319" s="76"/>
      <c r="B319" s="30"/>
      <c r="C319" s="30"/>
      <c r="D319" s="30"/>
      <c r="E319" s="30"/>
      <c r="F319" s="30"/>
      <c r="G319" s="69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70"/>
      <c r="AF319" s="71"/>
      <c r="AG319" s="30"/>
      <c r="AH319" s="78"/>
      <c r="AI319" s="72"/>
      <c r="AJ319" s="78"/>
      <c r="AK319" s="73"/>
      <c r="AL319" s="73"/>
      <c r="AM319" s="73"/>
      <c r="AN319" s="73"/>
      <c r="AO319" s="73"/>
      <c r="AP319" s="73"/>
    </row>
    <row r="320">
      <c r="A320" s="76"/>
      <c r="B320" s="30"/>
      <c r="C320" s="30"/>
      <c r="D320" s="30"/>
      <c r="E320" s="30"/>
      <c r="F320" s="30"/>
      <c r="G320" s="69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70"/>
      <c r="AF320" s="71"/>
      <c r="AG320" s="30"/>
      <c r="AH320" s="78"/>
      <c r="AI320" s="72"/>
      <c r="AJ320" s="78"/>
      <c r="AK320" s="73"/>
      <c r="AL320" s="73"/>
      <c r="AM320" s="73"/>
      <c r="AN320" s="73"/>
      <c r="AO320" s="73"/>
      <c r="AP320" s="73"/>
    </row>
    <row r="321">
      <c r="A321" s="76"/>
      <c r="B321" s="30"/>
      <c r="C321" s="30"/>
      <c r="D321" s="30"/>
      <c r="E321" s="30"/>
      <c r="F321" s="30"/>
      <c r="G321" s="69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70"/>
      <c r="AF321" s="71"/>
      <c r="AG321" s="30"/>
      <c r="AH321" s="78"/>
      <c r="AI321" s="72"/>
      <c r="AJ321" s="78"/>
      <c r="AK321" s="73"/>
      <c r="AL321" s="73"/>
      <c r="AM321" s="73"/>
      <c r="AN321" s="73"/>
      <c r="AO321" s="73"/>
      <c r="AP321" s="73"/>
    </row>
    <row r="322">
      <c r="A322" s="76"/>
      <c r="B322" s="30"/>
      <c r="C322" s="30"/>
      <c r="D322" s="30"/>
      <c r="E322" s="30"/>
      <c r="F322" s="30"/>
      <c r="G322" s="69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70"/>
      <c r="AF322" s="71"/>
      <c r="AG322" s="30"/>
      <c r="AH322" s="78"/>
      <c r="AI322" s="72"/>
      <c r="AJ322" s="78"/>
      <c r="AK322" s="73"/>
      <c r="AL322" s="73"/>
      <c r="AM322" s="73"/>
      <c r="AN322" s="73"/>
      <c r="AO322" s="73"/>
      <c r="AP322" s="73"/>
    </row>
    <row r="323">
      <c r="A323" s="76"/>
      <c r="B323" s="30"/>
      <c r="C323" s="30"/>
      <c r="D323" s="30"/>
      <c r="E323" s="30"/>
      <c r="F323" s="30"/>
      <c r="G323" s="69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70"/>
      <c r="AF323" s="71"/>
      <c r="AG323" s="30"/>
      <c r="AH323" s="78"/>
      <c r="AI323" s="72"/>
      <c r="AJ323" s="78"/>
      <c r="AK323" s="73"/>
      <c r="AL323" s="73"/>
      <c r="AM323" s="73"/>
      <c r="AN323" s="73"/>
      <c r="AO323" s="73"/>
      <c r="AP323" s="73"/>
    </row>
    <row r="324">
      <c r="A324" s="76"/>
      <c r="B324" s="30"/>
      <c r="C324" s="30"/>
      <c r="D324" s="30"/>
      <c r="E324" s="30"/>
      <c r="F324" s="30"/>
      <c r="G324" s="69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70"/>
      <c r="AF324" s="71"/>
      <c r="AG324" s="30"/>
      <c r="AH324" s="78"/>
      <c r="AI324" s="72"/>
      <c r="AJ324" s="78"/>
      <c r="AK324" s="73"/>
      <c r="AL324" s="73"/>
      <c r="AM324" s="73"/>
      <c r="AN324" s="73"/>
      <c r="AO324" s="73"/>
      <c r="AP324" s="73"/>
    </row>
    <row r="325">
      <c r="A325" s="76"/>
      <c r="B325" s="30"/>
      <c r="C325" s="30"/>
      <c r="D325" s="30"/>
      <c r="E325" s="30"/>
      <c r="F325" s="30"/>
      <c r="G325" s="69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70"/>
      <c r="AF325" s="71"/>
      <c r="AG325" s="30"/>
      <c r="AH325" s="78"/>
      <c r="AI325" s="72"/>
      <c r="AJ325" s="78"/>
      <c r="AK325" s="73"/>
      <c r="AL325" s="73"/>
      <c r="AM325" s="73"/>
      <c r="AN325" s="73"/>
      <c r="AO325" s="73"/>
      <c r="AP325" s="73"/>
    </row>
    <row r="326">
      <c r="A326" s="76"/>
      <c r="B326" s="30"/>
      <c r="C326" s="30"/>
      <c r="D326" s="30"/>
      <c r="E326" s="30"/>
      <c r="F326" s="30"/>
      <c r="G326" s="69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70"/>
      <c r="AF326" s="71"/>
      <c r="AG326" s="30"/>
      <c r="AH326" s="78"/>
      <c r="AI326" s="72"/>
      <c r="AJ326" s="78"/>
      <c r="AK326" s="73"/>
      <c r="AL326" s="73"/>
      <c r="AM326" s="73"/>
      <c r="AN326" s="73"/>
      <c r="AO326" s="73"/>
      <c r="AP326" s="73"/>
    </row>
    <row r="327">
      <c r="A327" s="76"/>
      <c r="B327" s="30"/>
      <c r="C327" s="30"/>
      <c r="D327" s="30"/>
      <c r="E327" s="30"/>
      <c r="F327" s="30"/>
      <c r="G327" s="69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70"/>
      <c r="AF327" s="71"/>
      <c r="AG327" s="30"/>
      <c r="AH327" s="78"/>
      <c r="AI327" s="72"/>
      <c r="AJ327" s="78"/>
      <c r="AK327" s="73"/>
      <c r="AL327" s="73"/>
      <c r="AM327" s="73"/>
      <c r="AN327" s="73"/>
      <c r="AO327" s="73"/>
      <c r="AP327" s="73"/>
    </row>
    <row r="328">
      <c r="A328" s="76"/>
      <c r="B328" s="30"/>
      <c r="C328" s="30"/>
      <c r="D328" s="30"/>
      <c r="E328" s="30"/>
      <c r="F328" s="30"/>
      <c r="G328" s="69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70"/>
      <c r="AF328" s="71"/>
      <c r="AG328" s="30"/>
      <c r="AH328" s="78"/>
      <c r="AI328" s="72"/>
      <c r="AJ328" s="78"/>
      <c r="AK328" s="73"/>
      <c r="AL328" s="73"/>
      <c r="AM328" s="73"/>
      <c r="AN328" s="73"/>
      <c r="AO328" s="73"/>
      <c r="AP328" s="73"/>
    </row>
    <row r="329">
      <c r="A329" s="76"/>
      <c r="B329" s="30"/>
      <c r="C329" s="30"/>
      <c r="D329" s="30"/>
      <c r="E329" s="30"/>
      <c r="F329" s="30"/>
      <c r="G329" s="69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70"/>
      <c r="AF329" s="71"/>
      <c r="AG329" s="30"/>
      <c r="AH329" s="78"/>
      <c r="AI329" s="72"/>
      <c r="AJ329" s="78"/>
      <c r="AK329" s="73"/>
      <c r="AL329" s="73"/>
      <c r="AM329" s="73"/>
      <c r="AN329" s="73"/>
      <c r="AO329" s="73"/>
      <c r="AP329" s="73"/>
    </row>
    <row r="330">
      <c r="A330" s="76"/>
      <c r="B330" s="30"/>
      <c r="C330" s="30"/>
      <c r="D330" s="30"/>
      <c r="E330" s="30"/>
      <c r="F330" s="30"/>
      <c r="G330" s="69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70"/>
      <c r="AF330" s="71"/>
      <c r="AG330" s="30"/>
      <c r="AH330" s="78"/>
      <c r="AI330" s="72"/>
      <c r="AJ330" s="78"/>
      <c r="AK330" s="73"/>
      <c r="AL330" s="73"/>
      <c r="AM330" s="73"/>
      <c r="AN330" s="73"/>
      <c r="AO330" s="73"/>
      <c r="AP330" s="73"/>
    </row>
    <row r="331">
      <c r="A331" s="76"/>
      <c r="B331" s="30"/>
      <c r="C331" s="30"/>
      <c r="D331" s="30"/>
      <c r="E331" s="30"/>
      <c r="F331" s="30"/>
      <c r="G331" s="69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70"/>
      <c r="AF331" s="71"/>
      <c r="AG331" s="30"/>
      <c r="AH331" s="78"/>
      <c r="AI331" s="72"/>
      <c r="AJ331" s="78"/>
      <c r="AK331" s="73"/>
      <c r="AL331" s="73"/>
      <c r="AM331" s="73"/>
      <c r="AN331" s="73"/>
      <c r="AO331" s="73"/>
      <c r="AP331" s="73"/>
    </row>
    <row r="332">
      <c r="A332" s="76"/>
      <c r="B332" s="30"/>
      <c r="C332" s="30"/>
      <c r="D332" s="30"/>
      <c r="E332" s="30"/>
      <c r="F332" s="30"/>
      <c r="G332" s="69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70"/>
      <c r="AF332" s="71"/>
      <c r="AG332" s="30"/>
      <c r="AH332" s="78"/>
      <c r="AI332" s="72"/>
      <c r="AJ332" s="78"/>
      <c r="AK332" s="73"/>
      <c r="AL332" s="73"/>
      <c r="AM332" s="73"/>
      <c r="AN332" s="73"/>
      <c r="AO332" s="73"/>
      <c r="AP332" s="73"/>
    </row>
    <row r="333">
      <c r="A333" s="76"/>
      <c r="B333" s="30"/>
      <c r="C333" s="30"/>
      <c r="D333" s="30"/>
      <c r="E333" s="30"/>
      <c r="F333" s="30"/>
      <c r="G333" s="69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70"/>
      <c r="AF333" s="71"/>
      <c r="AG333" s="30"/>
      <c r="AH333" s="78"/>
      <c r="AI333" s="72"/>
      <c r="AJ333" s="78"/>
      <c r="AK333" s="73"/>
      <c r="AL333" s="73"/>
      <c r="AM333" s="73"/>
      <c r="AN333" s="73"/>
      <c r="AO333" s="73"/>
      <c r="AP333" s="73"/>
    </row>
    <row r="334">
      <c r="A334" s="76"/>
      <c r="B334" s="30"/>
      <c r="C334" s="30"/>
      <c r="D334" s="30"/>
      <c r="E334" s="30"/>
      <c r="F334" s="30"/>
      <c r="G334" s="69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70"/>
      <c r="AF334" s="71"/>
      <c r="AG334" s="30"/>
      <c r="AH334" s="78"/>
      <c r="AI334" s="72"/>
      <c r="AJ334" s="78"/>
      <c r="AK334" s="73"/>
      <c r="AL334" s="73"/>
      <c r="AM334" s="73"/>
      <c r="AN334" s="73"/>
      <c r="AO334" s="73"/>
      <c r="AP334" s="73"/>
    </row>
    <row r="335">
      <c r="A335" s="76"/>
      <c r="B335" s="30"/>
      <c r="C335" s="30"/>
      <c r="D335" s="30"/>
      <c r="E335" s="30"/>
      <c r="F335" s="30"/>
      <c r="G335" s="69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70"/>
      <c r="AF335" s="71"/>
      <c r="AG335" s="30"/>
      <c r="AH335" s="78"/>
      <c r="AI335" s="72"/>
      <c r="AJ335" s="78"/>
      <c r="AK335" s="73"/>
      <c r="AL335" s="73"/>
      <c r="AM335" s="73"/>
      <c r="AN335" s="73"/>
      <c r="AO335" s="73"/>
      <c r="AP335" s="73"/>
    </row>
    <row r="336">
      <c r="A336" s="76"/>
      <c r="B336" s="30"/>
      <c r="C336" s="30"/>
      <c r="D336" s="30"/>
      <c r="E336" s="30"/>
      <c r="F336" s="30"/>
      <c r="G336" s="69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70"/>
      <c r="AF336" s="71"/>
      <c r="AG336" s="30"/>
      <c r="AH336" s="78"/>
      <c r="AI336" s="72"/>
      <c r="AJ336" s="78"/>
      <c r="AK336" s="73"/>
      <c r="AL336" s="73"/>
      <c r="AM336" s="73"/>
      <c r="AN336" s="73"/>
      <c r="AO336" s="73"/>
      <c r="AP336" s="73"/>
    </row>
    <row r="337">
      <c r="A337" s="76"/>
      <c r="B337" s="30"/>
      <c r="C337" s="30"/>
      <c r="D337" s="30"/>
      <c r="E337" s="30"/>
      <c r="F337" s="30"/>
      <c r="G337" s="69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70"/>
      <c r="AF337" s="71"/>
      <c r="AG337" s="30"/>
      <c r="AH337" s="78"/>
      <c r="AI337" s="72"/>
      <c r="AJ337" s="78"/>
      <c r="AK337" s="73"/>
      <c r="AL337" s="73"/>
      <c r="AM337" s="73"/>
      <c r="AN337" s="73"/>
      <c r="AO337" s="73"/>
      <c r="AP337" s="73"/>
    </row>
    <row r="338">
      <c r="A338" s="76"/>
      <c r="B338" s="30"/>
      <c r="C338" s="30"/>
      <c r="D338" s="30"/>
      <c r="E338" s="30"/>
      <c r="F338" s="30"/>
      <c r="G338" s="69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70"/>
      <c r="AF338" s="71"/>
      <c r="AG338" s="30"/>
      <c r="AH338" s="78"/>
      <c r="AI338" s="72"/>
      <c r="AJ338" s="78"/>
      <c r="AK338" s="73"/>
      <c r="AL338" s="73"/>
      <c r="AM338" s="73"/>
      <c r="AN338" s="73"/>
      <c r="AO338" s="73"/>
      <c r="AP338" s="73"/>
    </row>
    <row r="339">
      <c r="A339" s="76"/>
      <c r="B339" s="30"/>
      <c r="C339" s="30"/>
      <c r="D339" s="30"/>
      <c r="E339" s="30"/>
      <c r="F339" s="30"/>
      <c r="G339" s="69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70"/>
      <c r="AF339" s="71"/>
      <c r="AG339" s="30"/>
      <c r="AH339" s="78"/>
      <c r="AI339" s="72"/>
      <c r="AJ339" s="78"/>
      <c r="AK339" s="73"/>
      <c r="AL339" s="73"/>
      <c r="AM339" s="73"/>
      <c r="AN339" s="73"/>
      <c r="AO339" s="73"/>
      <c r="AP339" s="73"/>
    </row>
    <row r="340">
      <c r="A340" s="80" t="s">
        <v>210</v>
      </c>
      <c r="B340" s="81"/>
      <c r="C340" s="81"/>
      <c r="D340" s="4"/>
      <c r="E340" s="82">
        <f t="shared" ref="E340:AP340" si="3">SUM(E4:E339)</f>
        <v>4760</v>
      </c>
      <c r="F340" s="82">
        <f t="shared" si="3"/>
        <v>597</v>
      </c>
      <c r="G340" s="82">
        <f t="shared" si="3"/>
        <v>5357</v>
      </c>
      <c r="H340" s="82">
        <f t="shared" si="3"/>
        <v>26</v>
      </c>
      <c r="I340" s="82">
        <f t="shared" si="3"/>
        <v>174</v>
      </c>
      <c r="J340" s="82">
        <f t="shared" si="3"/>
        <v>1338</v>
      </c>
      <c r="K340" s="82">
        <f t="shared" si="3"/>
        <v>59</v>
      </c>
      <c r="L340" s="82">
        <f t="shared" si="3"/>
        <v>272</v>
      </c>
      <c r="M340" s="82">
        <f t="shared" si="3"/>
        <v>183</v>
      </c>
      <c r="N340" s="82">
        <f t="shared" si="3"/>
        <v>74</v>
      </c>
      <c r="O340" s="82">
        <f t="shared" si="3"/>
        <v>276</v>
      </c>
      <c r="P340" s="82">
        <f t="shared" si="3"/>
        <v>134</v>
      </c>
      <c r="Q340" s="82">
        <f t="shared" si="3"/>
        <v>2454</v>
      </c>
      <c r="R340" s="82">
        <f t="shared" si="3"/>
        <v>325</v>
      </c>
      <c r="S340" s="82">
        <f t="shared" si="3"/>
        <v>310</v>
      </c>
      <c r="T340" s="82">
        <f t="shared" si="3"/>
        <v>38</v>
      </c>
      <c r="U340" s="82">
        <f t="shared" si="3"/>
        <v>44</v>
      </c>
      <c r="V340" s="82">
        <f t="shared" si="3"/>
        <v>787</v>
      </c>
      <c r="W340" s="82">
        <f t="shared" si="3"/>
        <v>142</v>
      </c>
      <c r="X340" s="82">
        <f t="shared" si="3"/>
        <v>30</v>
      </c>
      <c r="Y340" s="82">
        <f t="shared" si="3"/>
        <v>26</v>
      </c>
      <c r="Z340" s="82">
        <f t="shared" si="3"/>
        <v>115</v>
      </c>
      <c r="AA340" s="82">
        <f t="shared" si="3"/>
        <v>186</v>
      </c>
      <c r="AB340" s="82">
        <f t="shared" si="3"/>
        <v>712</v>
      </c>
      <c r="AC340" s="82">
        <f t="shared" si="3"/>
        <v>0</v>
      </c>
      <c r="AD340" s="82">
        <f t="shared" si="3"/>
        <v>0</v>
      </c>
      <c r="AE340" s="82">
        <f t="shared" si="3"/>
        <v>5357</v>
      </c>
      <c r="AF340" s="82">
        <f t="shared" si="3"/>
        <v>0</v>
      </c>
      <c r="AG340" s="82">
        <f t="shared" si="3"/>
        <v>0</v>
      </c>
      <c r="AH340" s="82">
        <f t="shared" si="3"/>
        <v>2674550076</v>
      </c>
      <c r="AI340" s="82">
        <f t="shared" si="3"/>
        <v>140318715176</v>
      </c>
      <c r="AJ340" s="82">
        <f t="shared" si="3"/>
        <v>0</v>
      </c>
      <c r="AK340" s="82">
        <f t="shared" si="3"/>
        <v>2725</v>
      </c>
      <c r="AL340" s="82">
        <f t="shared" si="3"/>
        <v>1633</v>
      </c>
      <c r="AM340" s="82">
        <f t="shared" si="3"/>
        <v>253</v>
      </c>
      <c r="AN340" s="82">
        <f t="shared" si="3"/>
        <v>101</v>
      </c>
      <c r="AO340" s="82">
        <f t="shared" si="3"/>
        <v>0</v>
      </c>
      <c r="AP340" s="82">
        <f t="shared" si="3"/>
        <v>645</v>
      </c>
    </row>
  </sheetData>
  <mergeCells count="15">
    <mergeCell ref="AE1:AE3"/>
    <mergeCell ref="AF1:AF3"/>
    <mergeCell ref="AG1:AG3"/>
    <mergeCell ref="AH1:AH3"/>
    <mergeCell ref="AI1:AI3"/>
    <mergeCell ref="AJ1:AJ3"/>
    <mergeCell ref="AK1:AP2"/>
    <mergeCell ref="A1:A3"/>
    <mergeCell ref="B1:B3"/>
    <mergeCell ref="C1:C3"/>
    <mergeCell ref="D1:D3"/>
    <mergeCell ref="E1:F1"/>
    <mergeCell ref="G1:G3"/>
    <mergeCell ref="H1:AD2"/>
    <mergeCell ref="A340:D34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9.75"/>
    <col customWidth="1" min="7" max="7" width="21.5"/>
  </cols>
  <sheetData>
    <row r="1">
      <c r="A1" s="83" t="s">
        <v>211</v>
      </c>
      <c r="B1" s="84" t="s">
        <v>212</v>
      </c>
      <c r="C1" s="84" t="s">
        <v>213</v>
      </c>
      <c r="D1" s="84" t="s">
        <v>214</v>
      </c>
      <c r="E1" s="84" t="s">
        <v>215</v>
      </c>
      <c r="F1" s="85" t="s">
        <v>216</v>
      </c>
      <c r="G1" s="86" t="s">
        <v>217</v>
      </c>
    </row>
    <row r="2">
      <c r="A2" s="87" t="s">
        <v>15</v>
      </c>
      <c r="B2" s="88" t="s">
        <v>218</v>
      </c>
      <c r="C2" s="89">
        <v>571.0</v>
      </c>
      <c r="D2" s="89">
        <v>672.0</v>
      </c>
      <c r="E2" s="89">
        <v>298.0</v>
      </c>
      <c r="F2" s="89">
        <v>79.0</v>
      </c>
      <c r="G2" s="90" t="s">
        <v>219</v>
      </c>
    </row>
    <row r="3">
      <c r="A3" s="87" t="s">
        <v>220</v>
      </c>
      <c r="B3" s="88" t="s">
        <v>221</v>
      </c>
      <c r="C3" s="89">
        <v>895.0</v>
      </c>
      <c r="D3" s="89">
        <v>676.0</v>
      </c>
      <c r="E3" s="89">
        <v>292.0</v>
      </c>
      <c r="F3" s="89">
        <v>83.0</v>
      </c>
      <c r="G3" s="90" t="s">
        <v>219</v>
      </c>
    </row>
    <row r="4">
      <c r="A4" s="87" t="s">
        <v>17</v>
      </c>
      <c r="B4" s="88" t="s">
        <v>222</v>
      </c>
      <c r="C4" s="89">
        <v>897.0</v>
      </c>
      <c r="D4" s="89">
        <v>565.0</v>
      </c>
      <c r="E4" s="89">
        <v>294.0</v>
      </c>
      <c r="F4" s="89">
        <v>28.0</v>
      </c>
      <c r="G4" s="90" t="s">
        <v>219</v>
      </c>
    </row>
    <row r="5">
      <c r="A5" s="87" t="s">
        <v>223</v>
      </c>
      <c r="B5" s="88" t="s">
        <v>224</v>
      </c>
      <c r="C5" s="89">
        <v>569.0</v>
      </c>
      <c r="D5" s="89">
        <v>566.0</v>
      </c>
      <c r="E5" s="89">
        <v>299.0</v>
      </c>
      <c r="F5" s="89">
        <v>87.0</v>
      </c>
      <c r="G5" s="90" t="s">
        <v>219</v>
      </c>
    </row>
    <row r="6">
      <c r="A6" s="87" t="s">
        <v>225</v>
      </c>
      <c r="B6" s="88" t="s">
        <v>226</v>
      </c>
      <c r="C6" s="89">
        <v>570.0</v>
      </c>
      <c r="D6" s="89">
        <v>746.0</v>
      </c>
      <c r="E6" s="89">
        <v>326.0</v>
      </c>
      <c r="F6" s="89">
        <v>48.0</v>
      </c>
      <c r="G6" s="90" t="s">
        <v>219</v>
      </c>
    </row>
    <row r="7">
      <c r="A7" s="87" t="s">
        <v>227</v>
      </c>
      <c r="B7" s="91" t="s">
        <v>228</v>
      </c>
      <c r="C7" s="89">
        <v>901.0</v>
      </c>
      <c r="D7" s="89">
        <v>750.0</v>
      </c>
      <c r="E7" s="89">
        <v>305.0</v>
      </c>
      <c r="F7" s="89">
        <v>51.0</v>
      </c>
      <c r="G7" s="90" t="s">
        <v>219</v>
      </c>
    </row>
    <row r="8">
      <c r="A8" s="87" t="s">
        <v>229</v>
      </c>
      <c r="B8" s="91" t="s">
        <v>230</v>
      </c>
      <c r="C8" s="89">
        <v>900.0</v>
      </c>
      <c r="D8" s="89">
        <v>566.0</v>
      </c>
      <c r="E8" s="89">
        <v>301.0</v>
      </c>
      <c r="F8" s="89">
        <v>86.0</v>
      </c>
      <c r="G8" s="90" t="s">
        <v>219</v>
      </c>
    </row>
    <row r="9">
      <c r="A9" s="87" t="s">
        <v>231</v>
      </c>
      <c r="B9" s="91" t="s">
        <v>232</v>
      </c>
      <c r="C9" s="89">
        <v>718.0</v>
      </c>
      <c r="D9" s="89">
        <v>436.0</v>
      </c>
      <c r="E9" s="89">
        <v>396.0</v>
      </c>
      <c r="F9" s="89">
        <v>91.0</v>
      </c>
      <c r="G9" s="90" t="s">
        <v>219</v>
      </c>
    </row>
    <row r="10">
      <c r="A10" s="87" t="s">
        <v>233</v>
      </c>
      <c r="B10" s="91" t="s">
        <v>234</v>
      </c>
      <c r="C10" s="89">
        <v>1082.0</v>
      </c>
      <c r="D10" s="89">
        <v>551.0</v>
      </c>
      <c r="E10" s="89">
        <v>130.0</v>
      </c>
      <c r="F10" s="89">
        <v>227.0</v>
      </c>
      <c r="G10" s="90" t="s">
        <v>219</v>
      </c>
    </row>
    <row r="11">
      <c r="A11" s="87" t="s">
        <v>235</v>
      </c>
      <c r="B11" s="91" t="s">
        <v>236</v>
      </c>
      <c r="C11" s="89">
        <v>1245.0</v>
      </c>
      <c r="D11" s="89">
        <v>560.0</v>
      </c>
      <c r="E11" s="89">
        <v>138.0</v>
      </c>
      <c r="F11" s="89">
        <v>238.0</v>
      </c>
      <c r="G11" s="90" t="s">
        <v>237</v>
      </c>
    </row>
    <row r="12">
      <c r="A12" s="87" t="s">
        <v>238</v>
      </c>
      <c r="B12" s="91" t="s">
        <v>239</v>
      </c>
      <c r="C12" s="89">
        <v>2174.0</v>
      </c>
      <c r="D12" s="89">
        <v>1765.0</v>
      </c>
      <c r="E12" s="89">
        <v>761.0</v>
      </c>
      <c r="F12" s="89">
        <v>179.0</v>
      </c>
      <c r="G12" s="90" t="s">
        <v>237</v>
      </c>
    </row>
    <row r="13">
      <c r="A13" s="92" t="s">
        <v>240</v>
      </c>
      <c r="B13" s="93" t="s">
        <v>241</v>
      </c>
      <c r="C13" s="93">
        <v>2185.0</v>
      </c>
      <c r="D13" s="93">
        <v>1978.0</v>
      </c>
      <c r="E13" s="93">
        <v>650.0</v>
      </c>
      <c r="F13" s="93">
        <v>157.0</v>
      </c>
      <c r="G13" s="90" t="s">
        <v>237</v>
      </c>
    </row>
    <row r="14">
      <c r="A14" s="92" t="s">
        <v>242</v>
      </c>
      <c r="B14" s="93" t="s">
        <v>243</v>
      </c>
      <c r="C14" s="93">
        <v>2205.0</v>
      </c>
      <c r="D14" s="93">
        <v>2188.0</v>
      </c>
      <c r="E14" s="93">
        <v>1441.0</v>
      </c>
      <c r="F14" s="93">
        <v>186.0</v>
      </c>
      <c r="G14" s="90" t="s">
        <v>237</v>
      </c>
    </row>
    <row r="15">
      <c r="A15" s="92" t="s">
        <v>244</v>
      </c>
      <c r="B15" s="93" t="s">
        <v>245</v>
      </c>
      <c r="C15" s="93">
        <v>2214.0</v>
      </c>
      <c r="D15" s="93">
        <v>2412.0</v>
      </c>
      <c r="E15" s="93">
        <v>1025.0</v>
      </c>
      <c r="F15" s="93">
        <v>169.0</v>
      </c>
      <c r="G15" s="90" t="s">
        <v>237</v>
      </c>
    </row>
    <row r="16">
      <c r="A16" s="92" t="s">
        <v>246</v>
      </c>
      <c r="B16" s="93" t="s">
        <v>247</v>
      </c>
      <c r="C16" s="93">
        <v>2214.0</v>
      </c>
      <c r="D16" s="93">
        <v>2616.0</v>
      </c>
      <c r="E16" s="93">
        <v>971.0</v>
      </c>
      <c r="F16" s="93">
        <v>186.0</v>
      </c>
      <c r="G16" s="90" t="s">
        <v>237</v>
      </c>
    </row>
    <row r="17">
      <c r="A17" s="93" t="s">
        <v>248</v>
      </c>
      <c r="B17" s="93" t="s">
        <v>249</v>
      </c>
      <c r="C17" s="93">
        <v>3756.0</v>
      </c>
      <c r="D17" s="93">
        <v>1998.0</v>
      </c>
      <c r="E17" s="93">
        <v>1410.0</v>
      </c>
      <c r="F17" s="93">
        <v>177.0</v>
      </c>
      <c r="G17" s="90" t="s">
        <v>237</v>
      </c>
    </row>
    <row r="18">
      <c r="A18" s="92" t="s">
        <v>250</v>
      </c>
      <c r="B18" s="93" t="s">
        <v>251</v>
      </c>
      <c r="C18" s="93">
        <v>3807.0</v>
      </c>
      <c r="D18" s="93">
        <v>2188.0</v>
      </c>
      <c r="E18" s="93">
        <v>1458.0</v>
      </c>
      <c r="F18" s="93">
        <v>180.0</v>
      </c>
      <c r="G18" s="90" t="s">
        <v>237</v>
      </c>
    </row>
    <row r="19">
      <c r="A19" s="92" t="s">
        <v>252</v>
      </c>
      <c r="B19" s="93" t="s">
        <v>253</v>
      </c>
      <c r="C19" s="93">
        <v>3812.0</v>
      </c>
      <c r="D19" s="93">
        <v>2414.0</v>
      </c>
      <c r="E19" s="93">
        <v>1463.0</v>
      </c>
      <c r="F19" s="93">
        <v>203.0</v>
      </c>
      <c r="G19" s="90" t="s">
        <v>237</v>
      </c>
    </row>
    <row r="20">
      <c r="A20" s="92" t="s">
        <v>254</v>
      </c>
      <c r="B20" s="93" t="s">
        <v>255</v>
      </c>
      <c r="C20" s="93">
        <v>3801.0</v>
      </c>
      <c r="D20" s="93">
        <v>2616.0</v>
      </c>
      <c r="E20" s="93">
        <v>1458.0</v>
      </c>
      <c r="F20" s="93">
        <v>191.0</v>
      </c>
      <c r="G20" s="90" t="s">
        <v>237</v>
      </c>
    </row>
    <row r="21">
      <c r="A21" s="93" t="s">
        <v>256</v>
      </c>
      <c r="B21" s="93" t="s">
        <v>257</v>
      </c>
      <c r="C21" s="93">
        <v>2347.0</v>
      </c>
      <c r="D21" s="93">
        <v>1020.0</v>
      </c>
      <c r="E21" s="93">
        <v>1583.0</v>
      </c>
      <c r="F21" s="93">
        <v>177.0</v>
      </c>
      <c r="G21" s="90" t="s">
        <v>237</v>
      </c>
    </row>
    <row r="22">
      <c r="A22" s="92" t="s">
        <v>258</v>
      </c>
      <c r="B22" s="93" t="s">
        <v>259</v>
      </c>
      <c r="C22" s="93">
        <v>2059.0</v>
      </c>
      <c r="D22" s="93">
        <v>1744.0</v>
      </c>
      <c r="E22" s="93">
        <v>419.0</v>
      </c>
      <c r="F22" s="93">
        <v>134.0</v>
      </c>
      <c r="G22" s="90" t="s">
        <v>237</v>
      </c>
    </row>
  </sheetData>
  <drawing r:id="rId1"/>
</worksheet>
</file>
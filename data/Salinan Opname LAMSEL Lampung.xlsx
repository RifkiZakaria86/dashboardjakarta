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Config" sheetId="2" r:id="rId6"/>
  </sheets>
  <definedNames/>
  <calcPr/>
</workbook>
</file>

<file path=xl/sharedStrings.xml><?xml version="1.0" encoding="utf-8"?>
<sst xmlns="http://schemas.openxmlformats.org/spreadsheetml/2006/main" count="1354" uniqueCount="689">
  <si>
    <t>No</t>
  </si>
  <si>
    <t>PELANGGAN</t>
  </si>
  <si>
    <t>PROYEK</t>
  </si>
  <si>
    <t>Tipe Produk</t>
  </si>
  <si>
    <t>STOCK</t>
  </si>
  <si>
    <t>TOTAL STOCK</t>
  </si>
  <si>
    <t>OPNAME FISIK s/d SAAT INI</t>
  </si>
  <si>
    <t>SELISIH OPNAME</t>
  </si>
  <si>
    <t>Wilayah Penjualan</t>
  </si>
  <si>
    <t>Harsat</t>
  </si>
  <si>
    <t>Total Rupiah</t>
  </si>
  <si>
    <t>Umur Produk</t>
  </si>
  <si>
    <t>&lt; 30 HARI</t>
  </si>
  <si>
    <t>30 - 60 HARI</t>
  </si>
  <si>
    <t>60- 90 HARI</t>
  </si>
  <si>
    <t>90 - 180 HARI</t>
  </si>
  <si>
    <t>180 - 365 HARI</t>
  </si>
  <si>
    <t>&gt; 1 Tahun</t>
  </si>
  <si>
    <t>AKTIF</t>
  </si>
  <si>
    <t>TITIPAN</t>
  </si>
  <si>
    <t>3A</t>
  </si>
  <si>
    <t>3B</t>
  </si>
  <si>
    <t xml:space="preserve">POST </t>
  </si>
  <si>
    <t>POST 2</t>
  </si>
  <si>
    <t>4A</t>
  </si>
  <si>
    <t>4B</t>
  </si>
  <si>
    <t>4C</t>
  </si>
  <si>
    <t>4D</t>
  </si>
  <si>
    <t>4A 2</t>
  </si>
  <si>
    <t>4B 2</t>
  </si>
  <si>
    <t>4C 2</t>
  </si>
  <si>
    <t>DERMAGA</t>
  </si>
  <si>
    <t>3C</t>
  </si>
  <si>
    <t>1A</t>
  </si>
  <si>
    <t>1B</t>
  </si>
  <si>
    <t>1C</t>
  </si>
  <si>
    <t>2A</t>
  </si>
  <si>
    <t>3P</t>
  </si>
  <si>
    <t>3 SW</t>
  </si>
  <si>
    <t>4P</t>
  </si>
  <si>
    <t>5A</t>
  </si>
  <si>
    <t>5B</t>
  </si>
  <si>
    <t>5C</t>
  </si>
  <si>
    <t>PT WIJAYA KARYA DSU</t>
  </si>
  <si>
    <t>Pembangunan LRT</t>
  </si>
  <si>
    <t>CP.1200.A3.A.U.06</t>
  </si>
  <si>
    <t>III</t>
  </si>
  <si>
    <t>CP.1200.A3.A.M.06</t>
  </si>
  <si>
    <t>CP.1200.A3.A.B.06</t>
  </si>
  <si>
    <t>St Upper Segment</t>
  </si>
  <si>
    <t>St Middle 1 Segment</t>
  </si>
  <si>
    <t>St Bottom  Segment</t>
  </si>
  <si>
    <t>PT BRANTAS ABIPRAYA</t>
  </si>
  <si>
    <t>PENGAMAN PANTAI DI JAKARTA</t>
  </si>
  <si>
    <t>CP.1200.A1.U.06</t>
  </si>
  <si>
    <t>CP.1200.A1.M1.06</t>
  </si>
  <si>
    <t>CP.1200.A1.B.06</t>
  </si>
  <si>
    <t>STRESSING CP.1200.A1.U.06</t>
  </si>
  <si>
    <t>STRESSING CP.1200.A1.M.06</t>
  </si>
  <si>
    <t>STRESSING CP.1200.A1.B.06</t>
  </si>
  <si>
    <t>PT Nindya Karya</t>
  </si>
  <si>
    <t>Pembangunan jembatan sungai sambas besar</t>
  </si>
  <si>
    <t>100 A1 M 09 9 B</t>
  </si>
  <si>
    <t>IV</t>
  </si>
  <si>
    <t>PT Sinar Jaya Inti Mulya</t>
  </si>
  <si>
    <t>Pembangunan Dermaga di Srengsem Lampung</t>
  </si>
  <si>
    <t>80 B0 B 15 10,7 B K3.5</t>
  </si>
  <si>
    <t>II</t>
  </si>
  <si>
    <t>80 B0 M 15 10,7 B K3.5</t>
  </si>
  <si>
    <t>Hutama-Wika-BAP KSO</t>
  </si>
  <si>
    <t>Pembangunan Tol Bayung Lencir - Tempino Seksi 3</t>
  </si>
  <si>
    <t>80 B0 M 08 10,7 B</t>
  </si>
  <si>
    <t>Pembangunan Tol Bayung Lencir - Tempino Seksi 4</t>
  </si>
  <si>
    <t>80 B0 M 10 10,7 B</t>
  </si>
  <si>
    <t xml:space="preserve">PP-AK-WSKT-MWT </t>
  </si>
  <si>
    <t>JALAN TOL SERANG - PANIMBANG FASE 2 PAKET 3 PO 2</t>
  </si>
  <si>
    <t>80 B0 B 15 10,7 B K8</t>
  </si>
  <si>
    <t>JALAN TOL SERANG - PANIMBANG FASE 2 PAKET 3 PO 3</t>
  </si>
  <si>
    <t>80 B0 U 08 10,7 B K8</t>
  </si>
  <si>
    <t>JALAN TOL SERANG - PANIMBANG FASE 2 PAKET 3 PO 4</t>
  </si>
  <si>
    <t>80 B0 U 10 10,7 B K8</t>
  </si>
  <si>
    <t>JALAN TOL SERANG - PANIMBANG FASE 2 PAKET 3 PO 5</t>
  </si>
  <si>
    <t>80 B0 M 12 10,7 B K8</t>
  </si>
  <si>
    <t>JALAN TOL SERANG - PANIMBANG FASE 2 PAKET 3 PO 6</t>
  </si>
  <si>
    <t>80 B0 M 13 10,7 B K8</t>
  </si>
  <si>
    <t>JALAN TOL SERANG - PANIMBANG FASE 2 PAKET 3 PO 7</t>
  </si>
  <si>
    <t>80 B0 M 14 10,7 B K8</t>
  </si>
  <si>
    <t>JALAN TOL SERANG - PANIMBANG FASE 2 PAKET 3 PO 8</t>
  </si>
  <si>
    <t>80 B0 M 15 10,7 B K8</t>
  </si>
  <si>
    <t>PT PP PATROON KSO</t>
  </si>
  <si>
    <t>Pembangunan RSUD Krui Lampung</t>
  </si>
  <si>
    <t>60 A1 M 09 7 B</t>
  </si>
  <si>
    <t>PT INDO KONTAINER SARANA</t>
  </si>
  <si>
    <t>Pembangunan Dermaga Peti Kemas di Pontianak</t>
  </si>
  <si>
    <t>60 A1 B 12 7 B</t>
  </si>
  <si>
    <t>60 A1 M 08 7 B</t>
  </si>
  <si>
    <t>60 A1 M 12 7 B</t>
  </si>
  <si>
    <t>60 B0 M 12 9 B</t>
  </si>
  <si>
    <t>PT. PP-AK-WSKT-MWT</t>
  </si>
  <si>
    <t>JALAN TOL SERANG - PANIMBANG SEKSI 3 FASE 2 PAKET 3</t>
  </si>
  <si>
    <t>JALAN TOL SERANG - PANIMBANG SEKSI 3 FASE 2 PAKET 4</t>
  </si>
  <si>
    <t>JALAN TOL SERANG - PANIMBANG SEKSI 3 FASE 2 PAKET 5</t>
  </si>
  <si>
    <t>JALAN TOL SERANG - PANIMBANG SEKSI 3 FASE 2 PAKET 6</t>
  </si>
  <si>
    <t>PT.ARONY DUTA INDOTAMA</t>
  </si>
  <si>
    <t>Pembangunan Jembatan Pile Slab di Ruas Aruk - Bts. Kec. Siding / Seluas, Kalimantan Barat</t>
  </si>
  <si>
    <t>50 B0 B 12 7 B</t>
  </si>
  <si>
    <t>PT RIYA PASIFIK NABATI</t>
  </si>
  <si>
    <t>Pembangunan Tangki Timbun Area inside Pelindo Mempawah, Kalimantan Barat</t>
  </si>
  <si>
    <t>40 A2 B 12 7 B</t>
  </si>
  <si>
    <t>40 A2 M 06 7 B</t>
  </si>
  <si>
    <t>40 A2 M 10 7 B</t>
  </si>
  <si>
    <t>40 A2 M 12 7 B</t>
  </si>
  <si>
    <t>Pembangunan Tangki Timbun Area inside Pelindo Mempawah, Kalimantan Barat (Tahap 3)</t>
  </si>
  <si>
    <t>OKI Pulp &amp; Paper Mills</t>
  </si>
  <si>
    <t>OKI 3 TISSUE EXPANSION</t>
  </si>
  <si>
    <t>50 B0 M 06 9 B K10</t>
  </si>
  <si>
    <t>50 B0 M 07 9 B K10</t>
  </si>
  <si>
    <t>50 B0 M 08 9 B K10</t>
  </si>
  <si>
    <t>50 B0 M 09 9 B K10</t>
  </si>
  <si>
    <t>50 B0 M 10 9 B K10</t>
  </si>
  <si>
    <t>50 B0 M 12 9 B K10</t>
  </si>
  <si>
    <t>PT ARONY DUTA INDOTAMA</t>
  </si>
  <si>
    <t>Pembangunan Jembatan Pile Slab di Ruas Aruk - bts Kec. Siding/ Seluas tahap 2 , Kalbar</t>
  </si>
  <si>
    <t>50 B0 M 12 7 B</t>
  </si>
  <si>
    <t>PT Putra Indo Manunggal</t>
  </si>
  <si>
    <t>PEMBANGUNAN JEMBATAN PT SUKSES SAWIT GASING DI KAB. BANYUASIN</t>
  </si>
  <si>
    <t>50 B0 M 08 7 B</t>
  </si>
  <si>
    <t>50 B0 M 10 7 B</t>
  </si>
  <si>
    <t>60 C0 B 12 9 B</t>
  </si>
  <si>
    <t>60 C0 M 10 9 B</t>
  </si>
  <si>
    <t>PP-MASCO, KSO</t>
  </si>
  <si>
    <t>PEMBANGUNAN SEKOLAH RAKYAT BENGKULU</t>
  </si>
  <si>
    <t>30.30.A0.S.06.9,53.S.M K10</t>
  </si>
  <si>
    <t>PT WARINGIN MEGA MANDIRI</t>
  </si>
  <si>
    <t>Gedung Medik Charitas Kenten Palembang</t>
  </si>
  <si>
    <t>40.40.A0.S.12.12,7.S.M</t>
  </si>
  <si>
    <t>30.30.A.B.10.9,53.S.M</t>
  </si>
  <si>
    <t>30.30.A.U.10.9,53.S.M</t>
  </si>
  <si>
    <t>KSO PP-ADHI</t>
  </si>
  <si>
    <t>Pembangunan Gedung Kantor Perwakilan Bank Indonesia (KPwBI) Provinsi Jambi</t>
  </si>
  <si>
    <t>45.45.D.B.11.12,7.S.M.K8</t>
  </si>
  <si>
    <t>45.45.D.M.12.12,7.S.M.K8</t>
  </si>
  <si>
    <t>45.45.D.U.12.12,7.S.M.K8</t>
  </si>
  <si>
    <t>PT Bangka Cakra Karya</t>
  </si>
  <si>
    <t>JEMBATAN AIR PILANG RUAS PETIKAN – PILANG (TJ. PANDAN)</t>
  </si>
  <si>
    <t>PCI Post H-210;L 50,8M TENGAH</t>
  </si>
  <si>
    <t>DIAF TENGAH 165x109x15 CM</t>
  </si>
  <si>
    <t>DIAF; TEPI; 100x75x50</t>
  </si>
  <si>
    <t>Plat Deck 100 x 75 x 7</t>
  </si>
  <si>
    <t>Pembangunan Dermaga Peti Kemas di Pontianak (ccsp)</t>
  </si>
  <si>
    <t>W.450.A.1000 L 12</t>
  </si>
  <si>
    <t>WIJAYA KARYA (PERSERO) Tbk</t>
  </si>
  <si>
    <t>PEMBANGUNAN TOLL ANCOL TIMUR - PLUIT (HARBOUR-2)</t>
  </si>
  <si>
    <t>MCB (DDBSHBRMCB)</t>
  </si>
  <si>
    <t>MCB.400x1250x2400</t>
  </si>
  <si>
    <t>DINAS PERHUBUNGAN JKT</t>
  </si>
  <si>
    <t>PEMB TANGGUL MUARA ANGKE</t>
  </si>
  <si>
    <t>CP.1200.A.U.06</t>
  </si>
  <si>
    <t>CP.1200.A.M1.06</t>
  </si>
  <si>
    <t>CP.1200.A.B.06</t>
  </si>
  <si>
    <t>PT ADHI KARYA</t>
  </si>
  <si>
    <t>Proyek DERMAGA KBN MARUNDA</t>
  </si>
  <si>
    <t>CP 1200 C U 06 SB K10</t>
  </si>
  <si>
    <t>CP 1200 C M 06 SB K10</t>
  </si>
  <si>
    <t>CP 1200 C B 06 SB K10</t>
  </si>
  <si>
    <t>Proyek pembangunan jembatan sungai sambas besar</t>
  </si>
  <si>
    <t>100 C0 M 09 12,6 B</t>
  </si>
  <si>
    <t>PT.KHATULISTIWA RAYA CAKRAWALA</t>
  </si>
  <si>
    <t>PEMBANGUNAN TERMINAL BULKING DI KIJING, MEMPAWAH</t>
  </si>
  <si>
    <t>45 A1 M 12 7 B</t>
  </si>
  <si>
    <t>Hutama-Wika-BAP</t>
  </si>
  <si>
    <t>PT.KARYA DEMANG KONSTRUKSI</t>
  </si>
  <si>
    <t>Kontruksi Dermaga Pirikan (lebar 245m) PT. Bumi Persada Permai di Pirikan Bayung Lencir Musi Banyuasin</t>
  </si>
  <si>
    <t>45 C0 B 10 9 B</t>
  </si>
  <si>
    <t>45 C0 M 10 9 B</t>
  </si>
  <si>
    <t>PT. PP-AK-WSKT-MWT KSO</t>
  </si>
  <si>
    <t>PEMBANGUNAN JEMBATAN SUNGAI SAMBAS</t>
  </si>
  <si>
    <t>60 B0 M 06 9 B</t>
  </si>
  <si>
    <t>PT KARYA DEMANG KONSTRUKSI</t>
  </si>
  <si>
    <t>Proyek Kontruksi Dermaga Pirikan (lebar 245m) PT. Bumi Persada Permai di Pirikan Bayung Lencir Musi Banyuasin</t>
  </si>
  <si>
    <t>W.450.B.1000.20 15,2</t>
  </si>
  <si>
    <t>PLN (Persero) Wilayah S2JB, PT,</t>
  </si>
  <si>
    <t>Proyek Pengadaan Tiang Beton KHS PLN 0566.SPK/DAN.01.01/F11000000/2025</t>
  </si>
  <si>
    <t>TL 9-200 (157) E Sup 2</t>
  </si>
  <si>
    <t>Rp1,258,413</t>
  </si>
  <si>
    <t>30-60 hari</t>
  </si>
  <si>
    <t>9.00</t>
  </si>
  <si>
    <t>TL 12-200 (190) E Sup 2</t>
  </si>
  <si>
    <t>Rp1,975,175</t>
  </si>
  <si>
    <t>Rp229,120,300</t>
  </si>
  <si>
    <t>&lt;30 hari</t>
  </si>
  <si>
    <t>116.00</t>
  </si>
  <si>
    <t>PLN (Persero) Wilayah Lampung, PT</t>
  </si>
  <si>
    <t>Proyek Kelistrikan Swasta di Lampun</t>
  </si>
  <si>
    <t>2.00</t>
  </si>
  <si>
    <t>Pengadaan Tiang Beton KHS PLN 0631.PJ/DAN.01.01/F11000000/2025</t>
  </si>
  <si>
    <t>TL 14-350 (190) E Sup 2</t>
  </si>
  <si>
    <t>Rp2,560,263</t>
  </si>
  <si>
    <t>Rp64,006,575</t>
  </si>
  <si>
    <t>25.00</t>
  </si>
  <si>
    <t>Pengadaan Tiang Beton KHS PLN 0266.PJ/HKM.01.01/F24000000/2026
 0265.PJ/HKM.01.01/F24000000/2026</t>
  </si>
  <si>
    <t>Rp1,902,122</t>
  </si>
  <si>
    <t>Rp110,323,076</t>
  </si>
  <si>
    <t>58.00</t>
  </si>
  <si>
    <t>DHI KARYA (PERSERO) Tbk,PT</t>
  </si>
  <si>
    <t>EPC Coal Handling Inpit Conveyor Banko PT Bukit Asam</t>
  </si>
  <si>
    <t>TL 11-200 (190) E SUP 2</t>
  </si>
  <si>
    <t>Rp1,694,552</t>
  </si>
  <si>
    <t>Rp198,262,584</t>
  </si>
  <si>
    <t>117.00</t>
  </si>
  <si>
    <t>PLN (Persero) Wilayah S2JB, PT</t>
  </si>
  <si>
    <t>Pengadaan Tiang Beton PT PLN (Persero) Tahun 2026</t>
  </si>
  <si>
    <t>TL 9-200 (157) E SUP-2</t>
  </si>
  <si>
    <t>Rp716,036,997</t>
  </si>
  <si>
    <t>&lt;30 hari; 30-60 hari</t>
  </si>
  <si>
    <t>300.00</t>
  </si>
  <si>
    <t>269.00</t>
  </si>
  <si>
    <t>TL 12-200 (190) E SUP-2</t>
  </si>
  <si>
    <t>Rp345,655,625</t>
  </si>
  <si>
    <t>175.00</t>
  </si>
  <si>
    <t>Pengadaan Tiang Beton KHS PLN 0265.PJ/HKM.01.01/F24000000/2026</t>
  </si>
  <si>
    <t>Rp49,379,375</t>
  </si>
  <si>
    <t>CV.DWI PUTRI</t>
  </si>
  <si>
    <t>11-200-190 P</t>
  </si>
  <si>
    <t>Rp1,004,585</t>
  </si>
  <si>
    <t>Rp5,022,925</t>
  </si>
  <si>
    <t>&gt;1 tahun</t>
  </si>
  <si>
    <t>5.00</t>
  </si>
  <si>
    <t>PT.CAHAYA NAWA KARTIKA</t>
  </si>
  <si>
    <t>14/350(190) P</t>
  </si>
  <si>
    <t>Rp1,662,188</t>
  </si>
  <si>
    <t>1.00</t>
  </si>
  <si>
    <t>CV.INDO ARTHA PERSADA</t>
  </si>
  <si>
    <t>Tritama Aji Laksana, PT</t>
  </si>
  <si>
    <t>12-350-190 E</t>
  </si>
  <si>
    <t>Rp1,913,144</t>
  </si>
  <si>
    <t>Rp7,652,576</t>
  </si>
  <si>
    <t>4.00</t>
  </si>
  <si>
    <t>LUTHFI ARYA TEKHNIK, PT</t>
  </si>
  <si>
    <t>Proyek PT - Proyek Kelistrikan di Lampung</t>
  </si>
  <si>
    <t>TL 9-200 (157) P</t>
  </si>
  <si>
    <t>Rp33,907,022</t>
  </si>
  <si>
    <t>60-90 hari</t>
  </si>
  <si>
    <t>37.00</t>
  </si>
  <si>
    <t>Sinar Jaya Inti Mulya, PT</t>
  </si>
  <si>
    <t>Pembangunan Dermaga di Srengsem (PO 0630)</t>
  </si>
  <si>
    <t>50 A2 M 10 7 B</t>
  </si>
  <si>
    <t>Rp3,941,785</t>
  </si>
  <si>
    <t>Rp35,476,065</t>
  </si>
  <si>
    <t>PP-NK, KSO</t>
  </si>
  <si>
    <t>Pembangunan Jalan Tol Bayung Lencir - Tempino Seksi 2 (PO 0061)</t>
  </si>
  <si>
    <t>60 B0 M 08 9 B</t>
  </si>
  <si>
    <t>Rp5,206,360</t>
  </si>
  <si>
    <t>Rp10,412,720</t>
  </si>
  <si>
    <t>Sinar Alam Perkasa, CV</t>
  </si>
  <si>
    <t>Pembangunan Jembatan Gantung Way Campang</t>
  </si>
  <si>
    <t>45 A2 B 06 7 B</t>
  </si>
  <si>
    <t>Rp1,935,648</t>
  </si>
  <si>
    <t>Rp19,356,480</t>
  </si>
  <si>
    <t>10.00</t>
  </si>
  <si>
    <t>45 A2 M 06 7 B</t>
  </si>
  <si>
    <t>Rp2,199,708</t>
  </si>
  <si>
    <t>Rp8,798,832</t>
  </si>
  <si>
    <t>45 A2 M 07 7 B</t>
  </si>
  <si>
    <t>Rp2,448,022</t>
  </si>
  <si>
    <t>Rp46,512,418</t>
  </si>
  <si>
    <t>PP PATROON KSO</t>
  </si>
  <si>
    <t>Pembangunan RSUD Muhammad Thohir di Krui</t>
  </si>
  <si>
    <t>60 A1 M 06 7 B PHC</t>
  </si>
  <si>
    <t>Rp3,683,455</t>
  </si>
  <si>
    <t>Rp73,669,100</t>
  </si>
  <si>
    <t>19.00</t>
  </si>
  <si>
    <t>60 A1 M 10 7 B PHC</t>
  </si>
  <si>
    <t>Rp5,424,871</t>
  </si>
  <si>
    <t>Rp195,295,356</t>
  </si>
  <si>
    <t>Buana Prima Mulia, PT</t>
  </si>
  <si>
    <t>Pekerjaan Pemancangan Tahap 3 PKS PT AMA di Jambi</t>
  </si>
  <si>
    <t>35 A1 M 06 7 B</t>
  </si>
  <si>
    <t>Rp1,390,305</t>
  </si>
  <si>
    <t>35 A1 M 12 7 B</t>
  </si>
  <si>
    <t>Rp2,386,503</t>
  </si>
  <si>
    <t>Rp205,239,258</t>
  </si>
  <si>
    <t>Pekerjaan Pemancangan Tahap 6 PKS PT AMA di Jambi</t>
  </si>
  <si>
    <t>Rp8,341,830</t>
  </si>
  <si>
    <t>86.00</t>
  </si>
  <si>
    <t>Permata Agung Dewata, PT</t>
  </si>
  <si>
    <t>Pekerjaan Pemancangan di Kab. Tanjung Jabung Barat Provinsi Jambi</t>
  </si>
  <si>
    <t>30 A2 B 09 7 B</t>
  </si>
  <si>
    <t>Rp1,435,659</t>
  </si>
  <si>
    <t>Rp25,841,862</t>
  </si>
  <si>
    <t>6.00</t>
  </si>
  <si>
    <t>30 A2 M 09 7 B</t>
  </si>
  <si>
    <t>Rp1,540,269</t>
  </si>
  <si>
    <t>Rp56,989,953</t>
  </si>
  <si>
    <t>REKABANGUN ENERGI NUSANTARA, PT</t>
  </si>
  <si>
    <t>Proyek Tangki Timbun Kap. 2x5.000 KL di IT Panjang Site</t>
  </si>
  <si>
    <t>40 A2 B 06 7 B</t>
  </si>
  <si>
    <t>Rp1,530,732</t>
  </si>
  <si>
    <t>Rp293,900,544</t>
  </si>
  <si>
    <t>192.00</t>
  </si>
  <si>
    <t>40 A2 U 06 7 B</t>
  </si>
  <si>
    <t>Rp1,555,721</t>
  </si>
  <si>
    <t>Rp298,698,432</t>
  </si>
  <si>
    <t>Rp1,739,351</t>
  </si>
  <si>
    <t>Rp333,955,392</t>
  </si>
  <si>
    <t>ABIPRAYA - SBS, KSO</t>
  </si>
  <si>
    <t>Proyek Sekolah Rakyat Provinsi Lampung (2)</t>
  </si>
  <si>
    <t>30.30.A.B.06 NON STANDAR, MENGGUNAKAN REBAR, PLAT</t>
  </si>
  <si>
    <t>Rp1,480,786</t>
  </si>
  <si>
    <t>30.30.A.M.06 NON STANDAR, MENGGUNAKAN REBAR, PLAT</t>
  </si>
  <si>
    <t>Rp1,844,700</t>
  </si>
  <si>
    <t>RIYA PASIFIK NABATI, PT</t>
  </si>
  <si>
    <t>Proyek Pembangunan Tangki Timbun Area inside Pelindo Mempawah, Kalimantan Barat (Tahap 3) - Spunpile</t>
  </si>
  <si>
    <t>30 A2 M 06 7 B</t>
  </si>
  <si>
    <t>Rp1,132,845</t>
  </si>
  <si>
    <t>Rp35,118,195</t>
  </si>
  <si>
    <t>31.00</t>
  </si>
  <si>
    <t>30 A2 M 10 7 B</t>
  </si>
  <si>
    <t>Rp1,676,077</t>
  </si>
  <si>
    <t>Rp26,817,232</t>
  </si>
  <si>
    <t>16.00</t>
  </si>
  <si>
    <t>30 A2 B 12 7 B</t>
  </si>
  <si>
    <t>Rp1,843,083</t>
  </si>
  <si>
    <t>Rp29,489,328</t>
  </si>
  <si>
    <t>30 A2 M 12 7 B</t>
  </si>
  <si>
    <t>Rp1,947,693</t>
  </si>
  <si>
    <t>Rp31,163,088</t>
  </si>
  <si>
    <t>Rp177,413,802</t>
  </si>
  <si>
    <t>102.00</t>
  </si>
  <si>
    <t>Rp2,542,915</t>
  </si>
  <si>
    <t>Rp823,904,460</t>
  </si>
  <si>
    <t>324.00</t>
  </si>
  <si>
    <t>Rp2,736,078</t>
  </si>
  <si>
    <t>Rp916,586,130</t>
  </si>
  <si>
    <t>335.00</t>
  </si>
  <si>
    <t>Rp2,944,697</t>
  </si>
  <si>
    <t>Rp1,251,496,225</t>
  </si>
  <si>
    <t>425.00</t>
  </si>
  <si>
    <t>OKI Pulp &amp; Paper Mills, PT</t>
  </si>
  <si>
    <t>50 B0 M 09 9 B K10 Khusus Non Standar</t>
  </si>
  <si>
    <t>Rp4,035,500</t>
  </si>
  <si>
    <t>Rp508,473,000</t>
  </si>
  <si>
    <t>126.00</t>
  </si>
  <si>
    <t>50 B0 M 06 9 B K10 Khusus Non Standar</t>
  </si>
  <si>
    <t>Rp2,997,509</t>
  </si>
  <si>
    <t>Rp293,755,882</t>
  </si>
  <si>
    <t>98.00</t>
  </si>
  <si>
    <t>50 B0 M 08 9 B K10 Khusus Non Standar</t>
  </si>
  <si>
    <t>Rp3,689,503</t>
  </si>
  <si>
    <t>Rp830,138,175</t>
  </si>
  <si>
    <t>225.00</t>
  </si>
  <si>
    <t>50 B0 M 10 9 B K10 Khusus Non Standar</t>
  </si>
  <si>
    <t>Rp4,381,497</t>
  </si>
  <si>
    <t>Rp512,635,149</t>
  </si>
  <si>
    <t>50 B0 M 07 9 B K10 Khusus Non Standar</t>
  </si>
  <si>
    <t>Rp3,343,506</t>
  </si>
  <si>
    <t>Rp745,601,838</t>
  </si>
  <si>
    <t>223.00</t>
  </si>
  <si>
    <t>50 B0 M 12 9 B K10 Khusus Non Standar</t>
  </si>
  <si>
    <t>Rp5,073,491</t>
  </si>
  <si>
    <t>Rp5,646,795,483</t>
  </si>
  <si>
    <t>800.00</t>
  </si>
  <si>
    <t>313.00</t>
  </si>
  <si>
    <t>Sasmito, PT</t>
  </si>
  <si>
    <t>Proyek Bangunan Sekolah Rakyat di Provinsi Jambi</t>
  </si>
  <si>
    <t>30.30.A.B.08.9,53.S.M TP Kotak Masif 30 x 30, PC Strand, Kap. 50%</t>
  </si>
  <si>
    <t>Rp1,695,770</t>
  </si>
  <si>
    <t>Rp256,061,270</t>
  </si>
  <si>
    <t>151.00</t>
  </si>
  <si>
    <t>30.30.A.U.08.9,53.S.M TP Kotak Masif 30 x 30, PC Strand, Kap. 50%</t>
  </si>
  <si>
    <t>Rp1,711,874</t>
  </si>
  <si>
    <t>Rp169,475,526</t>
  </si>
  <si>
    <t>99.00</t>
  </si>
  <si>
    <t>30.30.A.M.08.9,53.S.M TP Kotak Masif 30 x 30, PC Strand, Kap. 50%</t>
  </si>
  <si>
    <t>Rp1,995,503</t>
  </si>
  <si>
    <t>Rp283,361,426</t>
  </si>
  <si>
    <t>142.00</t>
  </si>
  <si>
    <t>Nindya Karya, PT</t>
  </si>
  <si>
    <t>Pembangunan Gedung Menara Fakultas Teknik Universitas Sriwijaya</t>
  </si>
  <si>
    <t>40.40.A0.B.12.12,7.S.M K7 Kotak Masif, PC Strand, K-600</t>
  </si>
  <si>
    <t>Rp3,632,603</t>
  </si>
  <si>
    <t>Rp584,849,083</t>
  </si>
  <si>
    <t>161.00</t>
  </si>
  <si>
    <t>40.40.A.U.12.12,7.S.M.K7 Khusus</t>
  </si>
  <si>
    <t>Rp3,656,041</t>
  </si>
  <si>
    <t>Rp694,647,790</t>
  </si>
  <si>
    <t>190.00</t>
  </si>
  <si>
    <t>Royaltama Mulia Konstruksi, PT</t>
  </si>
  <si>
    <t>PROYEK TLS LINE 2 EMPLACEMENT GUNUNG MEGANG (PO 24 DAN PO 25</t>
  </si>
  <si>
    <t>30 B0 M 06 7 B</t>
  </si>
  <si>
    <t>Rp1,323,453</t>
  </si>
  <si>
    <t>Rp243,515,352</t>
  </si>
  <si>
    <t>184.00</t>
  </si>
  <si>
    <t>30 B0 B 08 7 B</t>
  </si>
  <si>
    <t>Rp1,553,995</t>
  </si>
  <si>
    <t>Rp245,531,210</t>
  </si>
  <si>
    <t>158.00</t>
  </si>
  <si>
    <t>50 B0 M 06 7 B</t>
  </si>
  <si>
    <t>Rp2,942,159</t>
  </si>
  <si>
    <t>Rp20,595,113</t>
  </si>
  <si>
    <t>7.00</t>
  </si>
  <si>
    <t>50 B0 B 08 7 B</t>
  </si>
  <si>
    <t>Rp3,360,481</t>
  </si>
  <si>
    <t>Rp26,883,848</t>
  </si>
  <si>
    <t>8.00</t>
  </si>
  <si>
    <t>KURNIA TUNGGAL NUGRAHA, PT</t>
  </si>
  <si>
    <t>Proyek di Kawasan PKS KTN di Jambi</t>
  </si>
  <si>
    <t>Rp57,135,573</t>
  </si>
  <si>
    <t>Rp62,326,176</t>
  </si>
  <si>
    <t>32.00</t>
  </si>
  <si>
    <t>Rp24,624,702</t>
  </si>
  <si>
    <t>Rp41,225,758</t>
  </si>
  <si>
    <t>14.00</t>
  </si>
  <si>
    <t>Stock Bebas</t>
  </si>
  <si>
    <t>60 A1 B 09 7 B</t>
  </si>
  <si>
    <t>Rp4,092,923</t>
  </si>
  <si>
    <t>Rp8,185,846</t>
  </si>
  <si>
    <t>Buana Prima Mulia, PT,</t>
  </si>
  <si>
    <t>Proyek:PEMBANGUNAN TANGKI BAHAN BAKAR MINYAK DI BATURAJA</t>
  </si>
  <si>
    <t>50 BO B 12 7 B</t>
  </si>
  <si>
    <t>Rp4,775,077</t>
  </si>
  <si>
    <t>Rp57,300,924</t>
  </si>
  <si>
    <t>12.00</t>
  </si>
  <si>
    <t>PT.ULIMA BASELIO</t>
  </si>
  <si>
    <t>40.40.A0.M.12.12,7.M</t>
  </si>
  <si>
    <t>Rp4,162,556</t>
  </si>
  <si>
    <t>Rp33,300,448</t>
  </si>
  <si>
    <t>BERINGIN BANGUN UTAMA</t>
  </si>
  <si>
    <t>50.50.A0.B12,12,7</t>
  </si>
  <si>
    <t>Rp5,378,123</t>
  </si>
  <si>
    <t>Rp16,134,369</t>
  </si>
  <si>
    <t>3.00</t>
  </si>
  <si>
    <t>30.30.A0.U.06</t>
  </si>
  <si>
    <t>Rp1,027,305</t>
  </si>
  <si>
    <t>Rp34,928,370</t>
  </si>
  <si>
    <t>90-180 hari</t>
  </si>
  <si>
    <t>34.00</t>
  </si>
  <si>
    <t>PT. CHCI CONSTRUCTION INDONESIA</t>
  </si>
  <si>
    <t>60 A3 B 12 7 B</t>
  </si>
  <si>
    <t>Rp5,718,257</t>
  </si>
  <si>
    <t>Rp68,619,084</t>
  </si>
  <si>
    <t>20.00</t>
  </si>
  <si>
    <t>60 A3 M 06 7 B</t>
  </si>
  <si>
    <t>Rp3,607,252</t>
  </si>
  <si>
    <t>Rp25,250,764</t>
  </si>
  <si>
    <t>60 A3 M 09 7 B</t>
  </si>
  <si>
    <t>Rp4,860,079</t>
  </si>
  <si>
    <t>Rp48,600,790</t>
  </si>
  <si>
    <t>60 A3 M 10 7 B</t>
  </si>
  <si>
    <t>Rp5,277,688</t>
  </si>
  <si>
    <t>Rp21,110,752</t>
  </si>
  <si>
    <t>60 A3 M 12 7 B</t>
  </si>
  <si>
    <t>Rp6,112,906</t>
  </si>
  <si>
    <t>Rp268,967,864</t>
  </si>
  <si>
    <t>44.00</t>
  </si>
  <si>
    <t>TRI KARYA OMEGA</t>
  </si>
  <si>
    <t>40.A2.M.07.7.B</t>
  </si>
  <si>
    <t>Rp1,835,454</t>
  </si>
  <si>
    <t>Rp16,519,086</t>
  </si>
  <si>
    <t>PT.WIJAYA KARYA</t>
  </si>
  <si>
    <t>60.B0.M.06.9.B</t>
  </si>
  <si>
    <t>Rp3,693,966</t>
  </si>
  <si>
    <t>Rp14,775,864</t>
  </si>
  <si>
    <t>PT, NEOCELINDO INTI BETON</t>
  </si>
  <si>
    <t>40.A2.M.08.7.B</t>
  </si>
  <si>
    <t>Rp1,857,313</t>
  </si>
  <si>
    <t>CV.DIBRA JAYA ABADI</t>
  </si>
  <si>
    <t>35.C0.M.10.9.K3.2</t>
  </si>
  <si>
    <t>Rp2,255,539</t>
  </si>
  <si>
    <t>Rp58,644,014</t>
  </si>
  <si>
    <t>26.00</t>
  </si>
  <si>
    <t>PT.KARYA BISA</t>
  </si>
  <si>
    <t>35.A1.M.10.7.W</t>
  </si>
  <si>
    <t>Rp1,701,564</t>
  </si>
  <si>
    <t>Rp10,209,384</t>
  </si>
  <si>
    <t>PT.ADHI KARYA</t>
  </si>
  <si>
    <t>50.A1.B.16.7.B</t>
  </si>
  <si>
    <t>Rp4,547,693</t>
  </si>
  <si>
    <t>Rp22,738,465</t>
  </si>
  <si>
    <t>50.A1.M.16.7.B</t>
  </si>
  <si>
    <t>Rp4,818,825</t>
  </si>
  <si>
    <t>PT.Pembangunan Perumahan (PP)</t>
  </si>
  <si>
    <t>35.A1.M.07.7.W</t>
  </si>
  <si>
    <t>Rp1,305,780</t>
  </si>
  <si>
    <t>Rp2,611,560</t>
  </si>
  <si>
    <t>PT.TRIPATRA</t>
  </si>
  <si>
    <t>30.A2.M.12.7.1.B K32</t>
  </si>
  <si>
    <t>Rp1,523,232</t>
  </si>
  <si>
    <t>PT.ASHFRI PUTRALORA</t>
  </si>
  <si>
    <t>50.A1.S.12.7.W</t>
  </si>
  <si>
    <t>Rp3,269,593</t>
  </si>
  <si>
    <t>Rp13,078,372</t>
  </si>
  <si>
    <t>PT.HAGA UNGGUL LESTARI</t>
  </si>
  <si>
    <t>30.A2.M.09.7.W</t>
  </si>
  <si>
    <t>Rp1,216,926</t>
  </si>
  <si>
    <t>PT.HARJAGUNA KURNIA MITRA</t>
  </si>
  <si>
    <t>35.A1.M.12.7.W</t>
  </si>
  <si>
    <t>Rp1,379,139</t>
  </si>
  <si>
    <t>PT.NINDYA KARYA</t>
  </si>
  <si>
    <t>60.A1.M.10.7.W</t>
  </si>
  <si>
    <t>Rp3,642,249</t>
  </si>
  <si>
    <t>35.A1.B.10.7.W</t>
  </si>
  <si>
    <t>Rp1,564,243</t>
  </si>
  <si>
    <t>Dizamatra Powerindo, PT</t>
  </si>
  <si>
    <t>Emplasemen Jalur KA PT Dizamatra Powerindo di Stasiun Serdang Ogan Ilir Sumatera Selatan</t>
  </si>
  <si>
    <t>Wika-18 (N-77)</t>
  </si>
  <si>
    <t>Rp16,349,834</t>
  </si>
  <si>
    <t>62.00</t>
  </si>
  <si>
    <t>Wika-18 (N-87)</t>
  </si>
  <si>
    <t>Rp14,503,885</t>
  </si>
  <si>
    <t>55.00</t>
  </si>
  <si>
    <t>Wika-18 (N-82)</t>
  </si>
  <si>
    <t>Rp6,856,382</t>
  </si>
  <si>
    <t>Wika-18 (N-72)</t>
  </si>
  <si>
    <t>Wika-18 (N-67)</t>
  </si>
  <si>
    <t>Rp1,038,478,166</t>
  </si>
  <si>
    <t>3,938.00</t>
  </si>
  <si>
    <t>Emplasemen Jalur KA PT Dizamatra Powerindo di Stasiun Sukacita Lahat - Sumatera Selatan</t>
  </si>
  <si>
    <t>Rp18,459,490</t>
  </si>
  <si>
    <t>70.00</t>
  </si>
  <si>
    <t>Rp8,966,038</t>
  </si>
  <si>
    <t>Rp91,242,622</t>
  </si>
  <si>
    <t>Rp340,182,030</t>
  </si>
  <si>
    <t>1,290.00</t>
  </si>
  <si>
    <t>Rp6,328,968</t>
  </si>
  <si>
    <t>24.00</t>
  </si>
  <si>
    <t>PT.SATKER BANGKA SUM-SEL</t>
  </si>
  <si>
    <t>N.67.B.58</t>
  </si>
  <si>
    <t>Rp87,352,704</t>
  </si>
  <si>
    <t>397.00</t>
  </si>
  <si>
    <t>PT ARMAK SUMBER BAHAGIA (SATKER BANGKA)</t>
  </si>
  <si>
    <t>Rp4,400,640</t>
  </si>
  <si>
    <t>YASA PATRIA PERKASA, PT</t>
  </si>
  <si>
    <t>Jalan Tol Kayu Agung - Palembang Betung Seksi 3</t>
  </si>
  <si>
    <t>H-185;L-35,8M TEPI</t>
  </si>
  <si>
    <t>Rp105,250,937</t>
  </si>
  <si>
    <t>Rp421,003,748</t>
  </si>
  <si>
    <t>H-185;L-35,8M TENGAH</t>
  </si>
  <si>
    <t>Rp106,452,409</t>
  </si>
  <si>
    <t>Rp851,619,272</t>
  </si>
  <si>
    <t>RAIATEA KARYA MANDIRI, PT</t>
  </si>
  <si>
    <t>Proyek Jembatan Way Kandis</t>
  </si>
  <si>
    <t>Diaf tengah 125x159x15 K-500</t>
  </si>
  <si>
    <t>Rp1,003,413</t>
  </si>
  <si>
    <t>Rp16,054,608</t>
  </si>
  <si>
    <t>Diaf Tepi 125x119x20 K-500</t>
  </si>
  <si>
    <t>Rp1,131,315</t>
  </si>
  <si>
    <t>Rp9,050,520</t>
  </si>
  <si>
    <t>PlatDeck 100x120x7 CM K-350</t>
  </si>
  <si>
    <t>Rp29,529,216</t>
  </si>
  <si>
    <t>144.00</t>
  </si>
  <si>
    <t>PCI Post H-170;L-35,8M; K-500; TENGAH</t>
  </si>
  <si>
    <t>Rp77,851,410</t>
  </si>
  <si>
    <t>Rp389,257,050</t>
  </si>
  <si>
    <t>MENARA BAJA PROJECT, CV</t>
  </si>
  <si>
    <t>Proyek Jembatan Sekunyit Kecil Provinsi Bengkulu</t>
  </si>
  <si>
    <t>Plat Deck 100x160x7 CM (CTC-185) STANDAR</t>
  </si>
  <si>
    <t>DIAF; TEPI; 112.5x144x20;</t>
  </si>
  <si>
    <t>PCI H-125; L-16.6 M; K-600; Tepi</t>
  </si>
  <si>
    <t>Rp29,509,809</t>
  </si>
  <si>
    <t>PCI H-125; L-16.6 M; K-600; Tengah</t>
  </si>
  <si>
    <t>Rp29,905,485</t>
  </si>
  <si>
    <t>L=30.60 : H= 160 Cm</t>
  </si>
  <si>
    <t>Rp4,250,000</t>
  </si>
  <si>
    <t>PT. NURANGGA BROTHER PUTRA ( HPP No. 19-1319)</t>
  </si>
  <si>
    <t>PROYEK : Jembatan Kepahiyang Bengkulu</t>
  </si>
  <si>
    <t>L=16.60 : H= 125 Tengah</t>
  </si>
  <si>
    <t>Anugrah Pertiwi Kontrindo, PT</t>
  </si>
  <si>
    <t>Proyek Jalan Tol Trans Sumatera Ruas Indralaya - Prabumulih Zona 6</t>
  </si>
  <si>
    <t>W.350.A.1000.09</t>
  </si>
  <si>
    <t>Rp4,682,121</t>
  </si>
  <si>
    <t>Rp23,410,605</t>
  </si>
  <si>
    <t>AGUNG KUSUMA, PT</t>
  </si>
  <si>
    <t>Pekerjaan Peningkatan Jembatan Kereta Api BH 785 di KM. 344+599 Talang Padang Lintas Prabumulih - Muaraenim</t>
  </si>
  <si>
    <t>W.350.A.1000.12</t>
  </si>
  <si>
    <t>Rp6,089,374</t>
  </si>
  <si>
    <t>Rp608,937,400</t>
  </si>
  <si>
    <t>100.00</t>
  </si>
  <si>
    <t>Basuki Rahmanta Putra,PT</t>
  </si>
  <si>
    <t>Pembangunan Drainase Utama Utama Kota Jambi (Loan JICA)</t>
  </si>
  <si>
    <t>W.325.A.1000 L-12 Hammer</t>
  </si>
  <si>
    <t>Rp4,890,046</t>
  </si>
  <si>
    <t>Rp48,900,460</t>
  </si>
  <si>
    <t>Sinar Pematang Mulia, PT</t>
  </si>
  <si>
    <t>Proyek Tanggul di Kawasan Pabrik PT Sinar Pematang Mulia</t>
  </si>
  <si>
    <t>W.325.A.1000 L-7 Hammer</t>
  </si>
  <si>
    <t>Rp3,008,269</t>
  </si>
  <si>
    <t>Rp225,620,175</t>
  </si>
  <si>
    <t>75.00</t>
  </si>
  <si>
    <t>Pembangunan Drainase Utama Kota Jambi (Loan JICA) - PO 047</t>
  </si>
  <si>
    <t>Rp1,051,359,890</t>
  </si>
  <si>
    <t>215.00</t>
  </si>
  <si>
    <t>PT.Rukun Jaya Madura Group</t>
  </si>
  <si>
    <t>W.500.A.1000.06</t>
  </si>
  <si>
    <t>Rp5,675,308</t>
  </si>
  <si>
    <t>Rp232,687,628</t>
  </si>
  <si>
    <t>41.00</t>
  </si>
  <si>
    <t>W.500.A.1000.08.K6</t>
  </si>
  <si>
    <t>Rp5,150,236</t>
  </si>
  <si>
    <t>Rp46,352,124</t>
  </si>
  <si>
    <t>PT. ALDI KARYA</t>
  </si>
  <si>
    <t>W 500 A 1000 10</t>
  </si>
  <si>
    <t>Rp7,367,010</t>
  </si>
  <si>
    <t>Rp95,771,130</t>
  </si>
  <si>
    <t>13.00</t>
  </si>
  <si>
    <t>PT. SATRIA GLOBAL GROUP</t>
  </si>
  <si>
    <t>Proyek Sekolah Rakyat di Lampung</t>
  </si>
  <si>
    <t>U-Ditch 600 x 600 x 1200</t>
  </si>
  <si>
    <t>Rp34,748,736</t>
  </si>
  <si>
    <t>U-Ditch 600 x 800 x 1200</t>
  </si>
  <si>
    <t>Rp8,909,712</t>
  </si>
  <si>
    <t>18.00</t>
  </si>
  <si>
    <t>PT.RATU CITRA BAHARI</t>
  </si>
  <si>
    <t>1400/1400 L 1,2 M</t>
  </si>
  <si>
    <t>Rp3,619,660</t>
  </si>
  <si>
    <t>PT.BALE RANTE PERKASA</t>
  </si>
  <si>
    <t>Cover U-ditch 600x700</t>
  </si>
  <si>
    <t>Rp16,288,470</t>
  </si>
  <si>
    <t>45.00</t>
  </si>
  <si>
    <t>PT. SAC NUSANTARA ( HPP- No 20-887)</t>
  </si>
  <si>
    <t>U-Ditch 800x800 L-1200</t>
  </si>
  <si>
    <t>Len Railway System, PT</t>
  </si>
  <si>
    <t>JPL 148 Lahat (Double Track)</t>
  </si>
  <si>
    <t>RWC Type S1 4000x987x155</t>
  </si>
  <si>
    <t>Rp11,515,634</t>
  </si>
  <si>
    <t>JPL 149 Bunga Mas</t>
  </si>
  <si>
    <t>RWC Type S1</t>
  </si>
  <si>
    <t>Rp16,618,902</t>
  </si>
  <si>
    <t>SWADAYA INDOPALMA, PT</t>
  </si>
  <si>
    <t>Jembatan Pilar Kebun PT Swadaya Indopalma di Kab. Banyuasin</t>
  </si>
  <si>
    <t>Balok 150x500x4000 fc 35 MPa</t>
  </si>
  <si>
    <t>Rp1,161,049</t>
  </si>
  <si>
    <t>Rp9,288,392</t>
  </si>
  <si>
    <t>Balok 300x700x6000 fc 35 MPa</t>
  </si>
  <si>
    <t>Rp5,125,220</t>
  </si>
  <si>
    <t>Rp20,500,880</t>
  </si>
  <si>
    <t>Rp1,155,932</t>
  </si>
  <si>
    <t>Rp4,623,728</t>
  </si>
  <si>
    <t>Balok 200x400x8000 fc 35 Mpa</t>
  </si>
  <si>
    <t>Rp3,916,831</t>
  </si>
  <si>
    <t>Rp23,500,986</t>
  </si>
  <si>
    <t>Pertamina EP Asset 2, PT</t>
  </si>
  <si>
    <t>Pengadaan material Slab Beton di Wilayah Kerja PT Pertamina EP Zona 4 (Job ticket No. 826)</t>
  </si>
  <si>
    <t>PRECAST SLAB 850X150X2000 K-500</t>
  </si>
  <si>
    <t>Concrete Barrier 1350x1200 K-350</t>
  </si>
  <si>
    <t>Rp1,238,880</t>
  </si>
  <si>
    <t>135.00</t>
  </si>
  <si>
    <t>Rp1,265,837</t>
  </si>
  <si>
    <t>145.00</t>
  </si>
  <si>
    <t>TOTAL</t>
  </si>
  <si>
    <t>Stockyard</t>
  </si>
  <si>
    <t>Kolom</t>
  </si>
  <si>
    <t>X_Pos</t>
  </si>
  <si>
    <t>Y_Pos</t>
  </si>
  <si>
    <t>Width</t>
  </si>
  <si>
    <t>Height</t>
  </si>
  <si>
    <t>Location</t>
  </si>
  <si>
    <t>H</t>
  </si>
  <si>
    <t>LAMSEL</t>
  </si>
  <si>
    <t>I</t>
  </si>
  <si>
    <t>J</t>
  </si>
  <si>
    <t>K</t>
  </si>
  <si>
    <t>POST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</si>
  <si>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</si>
  <si>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</si>
  <si>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</si>
  <si>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</si>
  <si>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</si>
  <si>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</si>
  <si>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</si>
  <si>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</si>
  <si>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</si>
  <si>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</si>
  <si>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</si>
  <si>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</si>
  <si>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NATAR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</si>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</sst>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Rp&quot;#,##0"/>
    <numFmt numFmtId="166" formatCode="&quot;Rp&quot;#,##0.00"/>
  </numFmts>
  <fonts count="18">
    <font>
      <sz val="10.0"/>
      <color rgb="FF000000"/>
      <name val="Arial"/>
      <scheme val="minor"/>
    </font>
    <font>
      <b/>
      <sz val="12.0"/>
      <color theme="1"/>
      <name val="Calibri"/>
    </font>
    <font/>
    <font>
      <b/>
      <sz val="14.0"/>
      <color theme="1"/>
      <name val="Calibri"/>
    </font>
    <font>
      <b/>
      <i/>
      <sz val="18.0"/>
      <color theme="1"/>
      <name val="Calibri"/>
    </font>
    <font>
      <color theme="1"/>
      <name val="Arial"/>
    </font>
    <font>
      <sz val="12.0"/>
      <color theme="1"/>
      <name val="Calibri"/>
    </font>
    <font>
      <b/>
      <sz val="12.0"/>
      <color rgb="FF9C0006"/>
      <name val="Calibri"/>
    </font>
    <font>
      <color theme="1"/>
      <name val="Arial"/>
      <scheme val="minor"/>
    </font>
    <font>
      <sz val="12.0"/>
      <color theme="1"/>
      <name val="Arial"/>
    </font>
    <font>
      <b/>
      <sz val="9.0"/>
      <color theme="1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color rgb="FF0F1115"/>
      <name val="Quote-cjk-patch"/>
    </font>
    <font>
      <b/>
      <color rgb="FF0F1115"/>
      <name val="Arial"/>
    </font>
    <font>
      <b/>
      <color theme="1"/>
      <name val="Arial"/>
    </font>
    <font>
      <color rgb="FF0F1115"/>
      <name val="Arial"/>
    </font>
    <font>
      <color rgb="FF0F1115"/>
      <name val="Quote-cjk-patch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2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1" fillId="3" fontId="1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3" fontId="1" numFmtId="3" xfId="0" applyAlignment="1" applyBorder="1" applyFont="1" applyNumberFormat="1">
      <alignment horizontal="center" shrinkToFit="0" wrapText="1"/>
    </xf>
    <xf borderId="1" fillId="2" fontId="4" numFmtId="4" xfId="0" applyAlignment="1" applyBorder="1" applyFont="1" applyNumberFormat="1">
      <alignment horizontal="center" vertical="bottom"/>
    </xf>
    <xf borderId="7" fillId="0" fontId="2" numFmtId="0" xfId="0" applyBorder="1" applyFont="1"/>
    <xf borderId="8" fillId="2" fontId="1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8" fillId="3" fontId="1" numFmtId="164" xfId="0" applyAlignment="1" applyBorder="1" applyFont="1" applyNumberFormat="1">
      <alignment horizontal="center"/>
    </xf>
    <xf borderId="8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 vertical="bottom"/>
    </xf>
    <xf borderId="8" fillId="3" fontId="1" numFmtId="0" xfId="0" applyAlignment="1" applyBorder="1" applyFont="1">
      <alignment horizontal="center" readingOrder="0" vertical="bottom"/>
    </xf>
    <xf borderId="8" fillId="2" fontId="5" numFmtId="4" xfId="0" applyAlignment="1" applyBorder="1" applyFont="1" applyNumberFormat="1">
      <alignment vertical="bottom"/>
    </xf>
    <xf borderId="8" fillId="0" fontId="6" numFmtId="0" xfId="0" applyAlignment="1" applyBorder="1" applyFont="1">
      <alignment horizontal="center"/>
    </xf>
    <xf borderId="8" fillId="0" fontId="6" numFmtId="0" xfId="0" applyAlignment="1" applyBorder="1" applyFont="1">
      <alignment vertical="bottom"/>
    </xf>
    <xf borderId="8" fillId="0" fontId="1" numFmtId="0" xfId="0" applyAlignment="1" applyBorder="1" applyFont="1">
      <alignment horizontal="center" vertical="bottom"/>
    </xf>
    <xf borderId="8" fillId="0" fontId="5" numFmtId="0" xfId="0" applyAlignment="1" applyBorder="1" applyFont="1">
      <alignment vertical="bottom"/>
    </xf>
    <xf borderId="8" fillId="0" fontId="1" numFmtId="0" xfId="0" applyAlignment="1" applyBorder="1" applyFont="1">
      <alignment horizontal="right" vertical="bottom"/>
    </xf>
    <xf borderId="8" fillId="4" fontId="7" numFmtId="0" xfId="0" applyAlignment="1" applyBorder="1" applyFill="1" applyFont="1">
      <alignment horizontal="center" vertical="bottom"/>
    </xf>
    <xf borderId="8" fillId="0" fontId="1" numFmtId="165" xfId="0" applyAlignment="1" applyBorder="1" applyFont="1" applyNumberFormat="1">
      <alignment horizontal="center" vertical="bottom"/>
    </xf>
    <xf borderId="8" fillId="0" fontId="1" numFmtId="3" xfId="0" applyAlignment="1" applyBorder="1" applyFont="1" applyNumberFormat="1">
      <alignment horizontal="center" vertical="bottom"/>
    </xf>
    <xf borderId="8" fillId="0" fontId="5" numFmtId="4" xfId="0" applyAlignment="1" applyBorder="1" applyFont="1" applyNumberFormat="1">
      <alignment vertical="bottom"/>
    </xf>
    <xf borderId="8" fillId="0" fontId="5" numFmtId="3" xfId="0" applyAlignment="1" applyBorder="1" applyFont="1" applyNumberFormat="1">
      <alignment vertical="bottom"/>
    </xf>
    <xf borderId="8" fillId="2" fontId="6" numFmtId="0" xfId="0" applyAlignment="1" applyBorder="1" applyFont="1">
      <alignment vertical="bottom"/>
    </xf>
    <xf borderId="8" fillId="2" fontId="1" numFmtId="0" xfId="0" applyAlignment="1" applyBorder="1" applyFont="1">
      <alignment horizontal="center" vertical="bottom"/>
    </xf>
    <xf borderId="8" fillId="2" fontId="5" numFmtId="0" xfId="0" applyAlignment="1" applyBorder="1" applyFont="1">
      <alignment vertical="bottom"/>
    </xf>
    <xf borderId="8" fillId="2" fontId="1" numFmtId="0" xfId="0" applyAlignment="1" applyBorder="1" applyFont="1">
      <alignment horizontal="right" vertical="bottom"/>
    </xf>
    <xf borderId="8" fillId="2" fontId="1" numFmtId="165" xfId="0" applyAlignment="1" applyBorder="1" applyFont="1" applyNumberFormat="1">
      <alignment horizontal="center" vertical="bottom"/>
    </xf>
    <xf borderId="8" fillId="5" fontId="6" numFmtId="0" xfId="0" applyAlignment="1" applyBorder="1" applyFill="1" applyFont="1">
      <alignment horizontal="center"/>
    </xf>
    <xf borderId="8" fillId="5" fontId="1" numFmtId="0" xfId="0" applyAlignment="1" applyBorder="1" applyFont="1">
      <alignment horizontal="center" vertical="bottom"/>
    </xf>
    <xf borderId="8" fillId="0" fontId="8" numFmtId="0" xfId="0" applyBorder="1" applyFont="1"/>
    <xf borderId="8" fillId="0" fontId="1" numFmtId="166" xfId="0" applyAlignment="1" applyBorder="1" applyFont="1" applyNumberFormat="1">
      <alignment horizontal="center" vertical="bottom"/>
    </xf>
    <xf borderId="8" fillId="5" fontId="5" numFmtId="0" xfId="0" applyAlignment="1" applyBorder="1" applyFont="1">
      <alignment vertical="bottom"/>
    </xf>
    <xf borderId="8" fillId="0" fontId="9" numFmtId="0" xfId="0" applyAlignment="1" applyBorder="1" applyFont="1">
      <alignment horizontal="center" vertical="bottom"/>
    </xf>
    <xf borderId="8" fillId="0" fontId="10" numFmtId="0" xfId="0" applyAlignment="1" applyBorder="1" applyFont="1">
      <alignment horizontal="right" vertical="bottom"/>
    </xf>
    <xf borderId="8" fillId="0" fontId="9" numFmtId="0" xfId="0" applyAlignment="1" applyBorder="1" applyFont="1">
      <alignment vertical="bottom"/>
    </xf>
    <xf borderId="0" fillId="0" fontId="11" numFmtId="0" xfId="0" applyAlignment="1" applyFont="1">
      <alignment readingOrder="0"/>
    </xf>
    <xf borderId="0" fillId="0" fontId="12" numFmtId="1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2" numFmtId="165" xfId="0" applyAlignment="1" applyFont="1" applyNumberFormat="1">
      <alignment horizontal="center"/>
    </xf>
    <xf borderId="0" fillId="0" fontId="12" numFmtId="3" xfId="0" applyAlignment="1" applyFont="1" applyNumberFormat="1">
      <alignment horizontal="center"/>
    </xf>
    <xf borderId="8" fillId="6" fontId="13" numFmtId="0" xfId="0" applyAlignment="1" applyBorder="1" applyFill="1" applyFont="1">
      <alignment horizontal="center" vertical="bottom"/>
    </xf>
    <xf borderId="3" fillId="6" fontId="13" numFmtId="0" xfId="0" applyAlignment="1" applyBorder="1" applyFont="1">
      <alignment horizontal="center" vertical="bottom"/>
    </xf>
    <xf borderId="3" fillId="6" fontId="14" numFmtId="0" xfId="0" applyAlignment="1" applyBorder="1" applyFont="1">
      <alignment horizontal="center" vertical="bottom"/>
    </xf>
    <xf borderId="3" fillId="6" fontId="15" numFmtId="0" xfId="0" applyAlignment="1" applyBorder="1" applyFont="1">
      <alignment horizontal="center" vertical="bottom"/>
    </xf>
    <xf borderId="12" fillId="7" fontId="16" numFmtId="0" xfId="0" applyAlignment="1" applyBorder="1" applyFill="1" applyFont="1">
      <alignment horizontal="center" readingOrder="0" vertical="bottom"/>
    </xf>
    <xf borderId="11" fillId="7" fontId="5" numFmtId="0" xfId="0" applyAlignment="1" applyBorder="1" applyFont="1">
      <alignment horizontal="center" readingOrder="0" vertical="bottom"/>
    </xf>
    <xf borderId="11" fillId="7" fontId="16" numFmtId="0" xfId="0" applyAlignment="1" applyBorder="1" applyFont="1">
      <alignment horizontal="center" vertical="bottom"/>
    </xf>
    <xf borderId="12" fillId="8" fontId="16" numFmtId="0" xfId="0" applyAlignment="1" applyBorder="1" applyFill="1" applyFont="1">
      <alignment horizontal="center" readingOrder="0" vertical="bottom"/>
    </xf>
    <xf borderId="11" fillId="8" fontId="5" numFmtId="0" xfId="0" applyAlignment="1" applyBorder="1" applyFont="1">
      <alignment horizontal="center" readingOrder="0" vertical="bottom"/>
    </xf>
    <xf borderId="11" fillId="8" fontId="16" numFmtId="0" xfId="0" applyAlignment="1" applyBorder="1" applyFont="1">
      <alignment horizontal="center" vertical="bottom"/>
    </xf>
    <xf borderId="0" fillId="8" fontId="8" numFmtId="0" xfId="0" applyFont="1"/>
    <xf borderId="0" fillId="7" fontId="8" numFmtId="0" xfId="0" applyFont="1"/>
    <xf borderId="11" fillId="8" fontId="5" numFmtId="0" xfId="0" applyAlignment="1" applyBorder="1" applyFont="1">
      <alignment horizontal="center" vertical="bottom"/>
    </xf>
    <xf borderId="11" fillId="7" fontId="5" numFmtId="0" xfId="0" applyAlignment="1" applyBorder="1" applyFont="1">
      <alignment horizontal="center" vertical="bottom"/>
    </xf>
    <xf borderId="8" fillId="7" fontId="8" numFmtId="0" xfId="0" applyAlignment="1" applyBorder="1" applyFont="1">
      <alignment horizontal="center" readingOrder="0"/>
    </xf>
    <xf borderId="11" fillId="7" fontId="17" numFmtId="0" xfId="0" applyAlignment="1" applyBorder="1" applyFont="1">
      <alignment horizontal="center" vertical="bottom"/>
    </xf>
    <xf borderId="8" fillId="7" fontId="5" numFmtId="0" xfId="0" applyAlignment="1" applyBorder="1" applyFont="1">
      <alignment horizontal="center" readingOrder="0" vertical="bottom"/>
    </xf>
    <xf borderId="12" fillId="9" fontId="16" numFmtId="0" xfId="0" applyAlignment="1" applyBorder="1" applyFill="1" applyFont="1">
      <alignment horizontal="center" readingOrder="0" vertical="bottom"/>
    </xf>
    <xf borderId="11" fillId="9" fontId="17" numFmtId="0" xfId="0" applyAlignment="1" applyBorder="1" applyFont="1">
      <alignment horizontal="center" vertical="bottom"/>
    </xf>
    <xf borderId="11" fillId="9" fontId="5" numFmtId="0" xfId="0" applyAlignment="1" applyBorder="1" applyFont="1">
      <alignment horizontal="center" readingOrder="0" vertical="bottom"/>
    </xf>
    <xf borderId="11" fillId="9" fontId="16" numFmtId="0" xfId="0" applyAlignment="1" applyBorder="1" applyFont="1">
      <alignment horizontal="center" vertical="bottom"/>
    </xf>
    <xf borderId="0" fillId="9" fontId="8" numFmtId="0" xfId="0" applyFont="1"/>
    <xf borderId="11" fillId="8" fontId="17" numFmtId="0" xfId="0" applyAlignment="1" applyBorder="1" applyFont="1">
      <alignment horizontal="center" vertical="bottom"/>
    </xf>
    <xf borderId="12" fillId="7" fontId="17" numFmtId="0" xfId="0" applyAlignment="1" applyBorder="1" applyFont="1">
      <alignment horizontal="center" vertical="bottom"/>
    </xf>
    <xf borderId="11" fillId="7" fontId="16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92.63"/>
    <col customWidth="1" min="4" max="4" width="27.38"/>
    <col hidden="1" min="17" max="17" width="12.63"/>
    <col customWidth="1" min="40" max="40" width="16.75"/>
    <col customWidth="1" min="41" max="41" width="19.63"/>
    <col customWidth="1" min="42" max="42" width="19.0"/>
    <col customWidth="1" min="44" max="44" width="16.25"/>
    <col customWidth="1" min="45" max="45" width="16.88"/>
    <col customWidth="1" min="46" max="46" width="17.75"/>
    <col customWidth="1" min="47" max="47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2" t="s">
        <v>5</v>
      </c>
      <c r="H1" s="5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"/>
      <c r="AK1" s="8" t="s">
        <v>4</v>
      </c>
      <c r="AL1" s="9" t="s">
        <v>7</v>
      </c>
      <c r="AM1" s="8" t="s">
        <v>8</v>
      </c>
      <c r="AN1" s="8" t="s">
        <v>9</v>
      </c>
      <c r="AO1" s="8" t="s">
        <v>10</v>
      </c>
      <c r="AP1" s="10" t="s">
        <v>11</v>
      </c>
      <c r="AQ1" s="11" t="s">
        <v>12</v>
      </c>
      <c r="AR1" s="11" t="s">
        <v>13</v>
      </c>
      <c r="AS1" s="11" t="s">
        <v>14</v>
      </c>
      <c r="AT1" s="11" t="s">
        <v>15</v>
      </c>
      <c r="AU1" s="11" t="s">
        <v>16</v>
      </c>
      <c r="AV1" s="11" t="s">
        <v>17</v>
      </c>
    </row>
    <row r="2">
      <c r="A2" s="12"/>
      <c r="B2" s="12"/>
      <c r="C2" s="12"/>
      <c r="D2" s="12"/>
      <c r="E2" s="13" t="s">
        <v>18</v>
      </c>
      <c r="F2" s="13" t="s">
        <v>19</v>
      </c>
      <c r="G2" s="12"/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6"/>
      <c r="AK2" s="12"/>
      <c r="AL2" s="12"/>
      <c r="AM2" s="12"/>
      <c r="AN2" s="12"/>
      <c r="AO2" s="12"/>
      <c r="AP2" s="12"/>
      <c r="AQ2" s="17"/>
      <c r="AR2" s="17"/>
      <c r="AS2" s="17"/>
      <c r="AT2" s="17"/>
      <c r="AU2" s="17"/>
      <c r="AV2" s="17"/>
    </row>
    <row r="3">
      <c r="A3" s="17"/>
      <c r="B3" s="17"/>
      <c r="C3" s="17"/>
      <c r="D3" s="17"/>
      <c r="E3" s="18">
        <v>46091.0</v>
      </c>
      <c r="F3" s="18">
        <v>46091.0</v>
      </c>
      <c r="G3" s="17"/>
      <c r="H3" s="19">
        <v>1.0</v>
      </c>
      <c r="I3" s="19">
        <v>2.0</v>
      </c>
      <c r="J3" s="19" t="s">
        <v>20</v>
      </c>
      <c r="K3" s="19" t="s">
        <v>21</v>
      </c>
      <c r="L3" s="19" t="s">
        <v>22</v>
      </c>
      <c r="M3" s="19" t="s">
        <v>23</v>
      </c>
      <c r="N3" s="19" t="s">
        <v>24</v>
      </c>
      <c r="O3" s="19" t="s">
        <v>25</v>
      </c>
      <c r="P3" s="19" t="s">
        <v>26</v>
      </c>
      <c r="Q3" s="19" t="s">
        <v>27</v>
      </c>
      <c r="R3" s="19" t="s">
        <v>28</v>
      </c>
      <c r="S3" s="19" t="s">
        <v>29</v>
      </c>
      <c r="T3" s="19" t="s">
        <v>30</v>
      </c>
      <c r="U3" s="19" t="s">
        <v>31</v>
      </c>
      <c r="V3" s="19" t="s">
        <v>32</v>
      </c>
      <c r="W3" s="20" t="s">
        <v>33</v>
      </c>
      <c r="X3" s="20" t="s">
        <v>34</v>
      </c>
      <c r="Y3" s="20" t="s">
        <v>35</v>
      </c>
      <c r="Z3" s="20">
        <v>2.0</v>
      </c>
      <c r="AA3" s="20" t="s">
        <v>36</v>
      </c>
      <c r="AB3" s="20">
        <v>3.0</v>
      </c>
      <c r="AC3" s="20" t="s">
        <v>37</v>
      </c>
      <c r="AD3" s="21" t="s">
        <v>38</v>
      </c>
      <c r="AE3" s="20">
        <v>4.0</v>
      </c>
      <c r="AF3" s="20" t="s">
        <v>39</v>
      </c>
      <c r="AG3" s="20">
        <v>5.0</v>
      </c>
      <c r="AH3" s="20" t="s">
        <v>40</v>
      </c>
      <c r="AI3" s="20" t="s">
        <v>41</v>
      </c>
      <c r="AJ3" s="20" t="s">
        <v>42</v>
      </c>
      <c r="AK3" s="17"/>
      <c r="AL3" s="17"/>
      <c r="AM3" s="17"/>
      <c r="AN3" s="17"/>
      <c r="AO3" s="17"/>
      <c r="AP3" s="17"/>
      <c r="AQ3" s="22"/>
      <c r="AR3" s="22"/>
      <c r="AS3" s="22"/>
      <c r="AT3" s="22"/>
      <c r="AU3" s="22"/>
      <c r="AV3" s="22"/>
    </row>
    <row r="4">
      <c r="A4" s="23">
        <v>1.0</v>
      </c>
      <c r="B4" s="24" t="s">
        <v>43</v>
      </c>
      <c r="C4" s="24" t="s">
        <v>44</v>
      </c>
      <c r="D4" s="24" t="s">
        <v>45</v>
      </c>
      <c r="E4" s="25">
        <v>1.0</v>
      </c>
      <c r="F4" s="25">
        <v>0.0</v>
      </c>
      <c r="G4" s="25">
        <f t="shared" ref="G4:G213" si="1">E4+F4</f>
        <v>1</v>
      </c>
      <c r="H4" s="26"/>
      <c r="I4" s="27">
        <v>1.0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>
        <f t="shared" ref="AK4:AK85" si="2">SUM(I4:V4)</f>
        <v>1</v>
      </c>
      <c r="AL4" s="28">
        <v>0.0</v>
      </c>
      <c r="AM4" s="25" t="s">
        <v>46</v>
      </c>
      <c r="AN4" s="29">
        <v>1.082482E7</v>
      </c>
      <c r="AO4" s="29">
        <f t="shared" ref="AO4:AO85" si="3">AN4*AK4</f>
        <v>10824820</v>
      </c>
      <c r="AP4" s="30" t="str">
        <f t="shared" ref="AP4:AP85" si="4">TEXTJOIN("; ",TRUE,
IF(AQ4&gt;0,"&lt;30 hari",""),
IF(AR4&gt;0,"30-60 hari",""),
IF(AS4&gt;0,"60-90 hari",""),
IF(AT4&gt;0,"90-180 hari",""),
IF(AU4&gt;0,"180-365 hari",""),
IF(AV4&gt;0,"&gt;1 tahun",""))
</f>
        <v>&gt;1 tahun</v>
      </c>
      <c r="AQ4" s="31"/>
      <c r="AR4" s="31"/>
      <c r="AS4" s="31"/>
      <c r="AT4" s="31"/>
      <c r="AU4" s="31"/>
      <c r="AV4" s="30">
        <v>1.0</v>
      </c>
    </row>
    <row r="5">
      <c r="A5" s="23">
        <f t="shared" ref="A5:A213" si="5">A4+1</f>
        <v>2</v>
      </c>
      <c r="B5" s="24" t="s">
        <v>43</v>
      </c>
      <c r="C5" s="24" t="s">
        <v>44</v>
      </c>
      <c r="D5" s="24" t="s">
        <v>47</v>
      </c>
      <c r="E5" s="25">
        <v>2.0</v>
      </c>
      <c r="F5" s="25">
        <v>0.0</v>
      </c>
      <c r="G5" s="25">
        <f t="shared" si="1"/>
        <v>2</v>
      </c>
      <c r="H5" s="26"/>
      <c r="I5" s="27">
        <v>2.0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>
        <f t="shared" si="2"/>
        <v>2</v>
      </c>
      <c r="AL5" s="28">
        <v>0.0</v>
      </c>
      <c r="AM5" s="25" t="s">
        <v>46</v>
      </c>
      <c r="AN5" s="29">
        <v>7919950.0</v>
      </c>
      <c r="AO5" s="29">
        <f t="shared" si="3"/>
        <v>15839900</v>
      </c>
      <c r="AP5" s="30" t="str">
        <f t="shared" si="4"/>
        <v>&gt;1 tahun</v>
      </c>
      <c r="AQ5" s="31"/>
      <c r="AR5" s="31"/>
      <c r="AS5" s="31"/>
      <c r="AT5" s="31"/>
      <c r="AU5" s="31"/>
      <c r="AV5" s="30">
        <v>2.0</v>
      </c>
    </row>
    <row r="6">
      <c r="A6" s="23">
        <f t="shared" si="5"/>
        <v>3</v>
      </c>
      <c r="B6" s="24" t="s">
        <v>43</v>
      </c>
      <c r="C6" s="24" t="s">
        <v>44</v>
      </c>
      <c r="D6" s="24" t="s">
        <v>48</v>
      </c>
      <c r="E6" s="25">
        <v>1.0</v>
      </c>
      <c r="F6" s="25">
        <v>0.0</v>
      </c>
      <c r="G6" s="25">
        <f t="shared" si="1"/>
        <v>1</v>
      </c>
      <c r="H6" s="26"/>
      <c r="I6" s="27">
        <v>1.0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>
        <f t="shared" si="2"/>
        <v>1</v>
      </c>
      <c r="AL6" s="28">
        <v>0.0</v>
      </c>
      <c r="AM6" s="25" t="s">
        <v>46</v>
      </c>
      <c r="AN6" s="29">
        <v>1.5300338E7</v>
      </c>
      <c r="AO6" s="29">
        <f t="shared" si="3"/>
        <v>15300338</v>
      </c>
      <c r="AP6" s="30" t="str">
        <f t="shared" si="4"/>
        <v>&gt;1 tahun</v>
      </c>
      <c r="AQ6" s="31"/>
      <c r="AR6" s="31"/>
      <c r="AS6" s="31"/>
      <c r="AT6" s="31"/>
      <c r="AU6" s="31"/>
      <c r="AV6" s="30">
        <v>1.0</v>
      </c>
    </row>
    <row r="7">
      <c r="A7" s="23">
        <f t="shared" si="5"/>
        <v>4</v>
      </c>
      <c r="B7" s="24" t="s">
        <v>43</v>
      </c>
      <c r="C7" s="24" t="s">
        <v>44</v>
      </c>
      <c r="D7" s="24" t="s">
        <v>49</v>
      </c>
      <c r="E7" s="25">
        <v>1.0</v>
      </c>
      <c r="F7" s="25">
        <v>0.0</v>
      </c>
      <c r="G7" s="25">
        <f t="shared" si="1"/>
        <v>1</v>
      </c>
      <c r="H7" s="26"/>
      <c r="I7" s="26"/>
      <c r="J7" s="26"/>
      <c r="K7" s="26"/>
      <c r="L7" s="26"/>
      <c r="M7" s="27">
        <v>1.0</v>
      </c>
      <c r="N7" s="26"/>
      <c r="O7" s="26"/>
      <c r="P7" s="26"/>
      <c r="Q7" s="26"/>
      <c r="R7" s="26"/>
      <c r="S7" s="26"/>
      <c r="T7" s="26"/>
      <c r="U7" s="26"/>
      <c r="V7" s="26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>
        <f t="shared" si="2"/>
        <v>1</v>
      </c>
      <c r="AL7" s="28">
        <v>0.0</v>
      </c>
      <c r="AM7" s="25" t="s">
        <v>46</v>
      </c>
      <c r="AN7" s="29">
        <v>2537199.0</v>
      </c>
      <c r="AO7" s="29">
        <f t="shared" si="3"/>
        <v>2537199</v>
      </c>
      <c r="AP7" s="30" t="str">
        <f t="shared" si="4"/>
        <v>&gt;1 tahun</v>
      </c>
      <c r="AQ7" s="31"/>
      <c r="AR7" s="31"/>
      <c r="AS7" s="31"/>
      <c r="AT7" s="31"/>
      <c r="AU7" s="31"/>
      <c r="AV7" s="30">
        <v>1.0</v>
      </c>
    </row>
    <row r="8">
      <c r="A8" s="23">
        <f t="shared" si="5"/>
        <v>5</v>
      </c>
      <c r="B8" s="24" t="s">
        <v>43</v>
      </c>
      <c r="C8" s="24" t="s">
        <v>44</v>
      </c>
      <c r="D8" s="24" t="s">
        <v>50</v>
      </c>
      <c r="E8" s="25">
        <v>2.0</v>
      </c>
      <c r="F8" s="25">
        <v>0.0</v>
      </c>
      <c r="G8" s="25">
        <f t="shared" si="1"/>
        <v>2</v>
      </c>
      <c r="H8" s="26"/>
      <c r="I8" s="26"/>
      <c r="J8" s="26"/>
      <c r="K8" s="26"/>
      <c r="L8" s="26"/>
      <c r="M8" s="27">
        <v>2.0</v>
      </c>
      <c r="N8" s="26"/>
      <c r="O8" s="26"/>
      <c r="P8" s="26"/>
      <c r="Q8" s="26"/>
      <c r="R8" s="26"/>
      <c r="S8" s="26"/>
      <c r="T8" s="26"/>
      <c r="U8" s="26"/>
      <c r="V8" s="26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>
        <f t="shared" si="2"/>
        <v>2</v>
      </c>
      <c r="AL8" s="28">
        <v>0.0</v>
      </c>
      <c r="AM8" s="25" t="s">
        <v>46</v>
      </c>
      <c r="AN8" s="29">
        <v>2282224.0</v>
      </c>
      <c r="AO8" s="29">
        <f t="shared" si="3"/>
        <v>4564448</v>
      </c>
      <c r="AP8" s="30" t="str">
        <f t="shared" si="4"/>
        <v>&gt;1 tahun</v>
      </c>
      <c r="AQ8" s="31"/>
      <c r="AR8" s="31"/>
      <c r="AS8" s="31"/>
      <c r="AT8" s="31"/>
      <c r="AU8" s="31"/>
      <c r="AV8" s="30">
        <v>2.0</v>
      </c>
    </row>
    <row r="9">
      <c r="A9" s="23">
        <f t="shared" si="5"/>
        <v>6</v>
      </c>
      <c r="B9" s="24" t="s">
        <v>43</v>
      </c>
      <c r="C9" s="24" t="s">
        <v>44</v>
      </c>
      <c r="D9" s="24" t="s">
        <v>51</v>
      </c>
      <c r="E9" s="25">
        <v>1.0</v>
      </c>
      <c r="F9" s="25">
        <v>0.0</v>
      </c>
      <c r="G9" s="25">
        <f t="shared" si="1"/>
        <v>1</v>
      </c>
      <c r="H9" s="26"/>
      <c r="I9" s="26"/>
      <c r="J9" s="26"/>
      <c r="K9" s="26"/>
      <c r="L9" s="26"/>
      <c r="M9" s="27">
        <v>1.0</v>
      </c>
      <c r="N9" s="26"/>
      <c r="O9" s="26"/>
      <c r="P9" s="26"/>
      <c r="Q9" s="26"/>
      <c r="R9" s="26"/>
      <c r="S9" s="26"/>
      <c r="T9" s="26"/>
      <c r="U9" s="26"/>
      <c r="V9" s="26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>
        <f t="shared" si="2"/>
        <v>1</v>
      </c>
      <c r="AL9" s="28">
        <v>0.0</v>
      </c>
      <c r="AM9" s="25" t="s">
        <v>46</v>
      </c>
      <c r="AN9" s="29">
        <v>2537176.0</v>
      </c>
      <c r="AO9" s="29">
        <f t="shared" si="3"/>
        <v>2537176</v>
      </c>
      <c r="AP9" s="30" t="str">
        <f t="shared" si="4"/>
        <v>&gt;1 tahun</v>
      </c>
      <c r="AQ9" s="31"/>
      <c r="AR9" s="31"/>
      <c r="AS9" s="31"/>
      <c r="AT9" s="31"/>
      <c r="AU9" s="31"/>
      <c r="AV9" s="30">
        <v>1.0</v>
      </c>
    </row>
    <row r="10">
      <c r="A10" s="23">
        <f t="shared" si="5"/>
        <v>7</v>
      </c>
      <c r="B10" s="24" t="s">
        <v>52</v>
      </c>
      <c r="C10" s="24" t="s">
        <v>53</v>
      </c>
      <c r="D10" s="24" t="s">
        <v>54</v>
      </c>
      <c r="E10" s="25">
        <v>1.0</v>
      </c>
      <c r="F10" s="25">
        <v>0.0</v>
      </c>
      <c r="G10" s="25">
        <f t="shared" si="1"/>
        <v>1</v>
      </c>
      <c r="H10" s="26"/>
      <c r="I10" s="27">
        <v>1.0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>
        <f t="shared" si="2"/>
        <v>1</v>
      </c>
      <c r="AL10" s="28">
        <v>0.0</v>
      </c>
      <c r="AM10" s="25" t="s">
        <v>46</v>
      </c>
      <c r="AN10" s="29">
        <v>8872896.0</v>
      </c>
      <c r="AO10" s="29">
        <f t="shared" si="3"/>
        <v>8872896</v>
      </c>
      <c r="AP10" s="30" t="str">
        <f t="shared" si="4"/>
        <v>&gt;1 tahun</v>
      </c>
      <c r="AQ10" s="31"/>
      <c r="AR10" s="31"/>
      <c r="AS10" s="31"/>
      <c r="AT10" s="31"/>
      <c r="AU10" s="31"/>
      <c r="AV10" s="30">
        <v>1.0</v>
      </c>
    </row>
    <row r="11">
      <c r="A11" s="23">
        <f t="shared" si="5"/>
        <v>8</v>
      </c>
      <c r="B11" s="24" t="s">
        <v>52</v>
      </c>
      <c r="C11" s="24" t="s">
        <v>53</v>
      </c>
      <c r="D11" s="24" t="s">
        <v>55</v>
      </c>
      <c r="E11" s="25">
        <v>2.0</v>
      </c>
      <c r="F11" s="25">
        <v>0.0</v>
      </c>
      <c r="G11" s="25">
        <f t="shared" si="1"/>
        <v>2</v>
      </c>
      <c r="H11" s="26"/>
      <c r="I11" s="27">
        <v>2.0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>
        <f t="shared" si="2"/>
        <v>2</v>
      </c>
      <c r="AL11" s="28">
        <v>0.0</v>
      </c>
      <c r="AM11" s="25" t="s">
        <v>46</v>
      </c>
      <c r="AN11" s="29">
        <v>7971533.0</v>
      </c>
      <c r="AO11" s="29">
        <f t="shared" si="3"/>
        <v>15943066</v>
      </c>
      <c r="AP11" s="30" t="str">
        <f t="shared" si="4"/>
        <v>&gt;1 tahun</v>
      </c>
      <c r="AQ11" s="31"/>
      <c r="AR11" s="31"/>
      <c r="AS11" s="31"/>
      <c r="AT11" s="31"/>
      <c r="AU11" s="31"/>
      <c r="AV11" s="25">
        <v>1.0</v>
      </c>
    </row>
    <row r="12">
      <c r="A12" s="23">
        <f t="shared" si="5"/>
        <v>9</v>
      </c>
      <c r="B12" s="24" t="s">
        <v>52</v>
      </c>
      <c r="C12" s="24" t="s">
        <v>53</v>
      </c>
      <c r="D12" s="24" t="s">
        <v>56</v>
      </c>
      <c r="E12" s="25">
        <v>1.0</v>
      </c>
      <c r="F12" s="25">
        <v>0.0</v>
      </c>
      <c r="G12" s="25">
        <f t="shared" si="1"/>
        <v>1</v>
      </c>
      <c r="H12" s="26"/>
      <c r="I12" s="27">
        <v>1.0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>
        <f t="shared" si="2"/>
        <v>1</v>
      </c>
      <c r="AL12" s="28">
        <v>0.0</v>
      </c>
      <c r="AM12" s="25" t="s">
        <v>46</v>
      </c>
      <c r="AN12" s="29">
        <v>8869153.0</v>
      </c>
      <c r="AO12" s="29">
        <f t="shared" si="3"/>
        <v>8869153</v>
      </c>
      <c r="AP12" s="30" t="str">
        <f t="shared" si="4"/>
        <v>&gt;1 tahun</v>
      </c>
      <c r="AQ12" s="31"/>
      <c r="AR12" s="31"/>
      <c r="AS12" s="31"/>
      <c r="AT12" s="31"/>
      <c r="AU12" s="31"/>
      <c r="AV12" s="25">
        <v>2.0</v>
      </c>
    </row>
    <row r="13">
      <c r="A13" s="23">
        <f t="shared" si="5"/>
        <v>10</v>
      </c>
      <c r="B13" s="24" t="s">
        <v>52</v>
      </c>
      <c r="C13" s="24" t="s">
        <v>53</v>
      </c>
      <c r="D13" s="24" t="s">
        <v>57</v>
      </c>
      <c r="E13" s="25">
        <v>1.0</v>
      </c>
      <c r="F13" s="25">
        <v>0.0</v>
      </c>
      <c r="G13" s="25">
        <f t="shared" si="1"/>
        <v>1</v>
      </c>
      <c r="H13" s="26"/>
      <c r="I13" s="26"/>
      <c r="J13" s="26"/>
      <c r="K13" s="26"/>
      <c r="L13" s="26"/>
      <c r="M13" s="27">
        <v>1.0</v>
      </c>
      <c r="N13" s="26"/>
      <c r="O13" s="26"/>
      <c r="P13" s="26"/>
      <c r="Q13" s="26"/>
      <c r="R13" s="26"/>
      <c r="S13" s="26"/>
      <c r="T13" s="26"/>
      <c r="U13" s="26"/>
      <c r="V13" s="26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>
        <f t="shared" si="2"/>
        <v>1</v>
      </c>
      <c r="AL13" s="28">
        <v>0.0</v>
      </c>
      <c r="AM13" s="25" t="s">
        <v>46</v>
      </c>
      <c r="AN13" s="29">
        <v>2369903.0</v>
      </c>
      <c r="AO13" s="29">
        <f t="shared" si="3"/>
        <v>2369903</v>
      </c>
      <c r="AP13" s="30" t="str">
        <f t="shared" si="4"/>
        <v>&gt;1 tahun</v>
      </c>
      <c r="AQ13" s="31"/>
      <c r="AR13" s="31"/>
      <c r="AS13" s="31"/>
      <c r="AT13" s="31"/>
      <c r="AU13" s="31"/>
      <c r="AV13" s="25">
        <v>1.0</v>
      </c>
    </row>
    <row r="14">
      <c r="A14" s="23">
        <f t="shared" si="5"/>
        <v>11</v>
      </c>
      <c r="B14" s="24" t="s">
        <v>52</v>
      </c>
      <c r="C14" s="24" t="s">
        <v>53</v>
      </c>
      <c r="D14" s="24" t="s">
        <v>58</v>
      </c>
      <c r="E14" s="25">
        <v>2.0</v>
      </c>
      <c r="F14" s="25">
        <v>0.0</v>
      </c>
      <c r="G14" s="25">
        <f t="shared" si="1"/>
        <v>2</v>
      </c>
      <c r="H14" s="26"/>
      <c r="I14" s="26"/>
      <c r="J14" s="26"/>
      <c r="K14" s="26"/>
      <c r="L14" s="26"/>
      <c r="M14" s="27">
        <v>2.0</v>
      </c>
      <c r="N14" s="26"/>
      <c r="O14" s="26"/>
      <c r="P14" s="26"/>
      <c r="Q14" s="26"/>
      <c r="R14" s="26"/>
      <c r="S14" s="26"/>
      <c r="T14" s="26"/>
      <c r="U14" s="26"/>
      <c r="V14" s="26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>
        <f t="shared" si="2"/>
        <v>2</v>
      </c>
      <c r="AL14" s="28">
        <v>0.0</v>
      </c>
      <c r="AM14" s="25" t="s">
        <v>46</v>
      </c>
      <c r="AN14" s="29">
        <v>1761721.0</v>
      </c>
      <c r="AO14" s="29">
        <f t="shared" si="3"/>
        <v>3523442</v>
      </c>
      <c r="AP14" s="30" t="str">
        <f t="shared" si="4"/>
        <v>&gt;1 tahun</v>
      </c>
      <c r="AQ14" s="31"/>
      <c r="AR14" s="31"/>
      <c r="AS14" s="31"/>
      <c r="AT14" s="31"/>
      <c r="AU14" s="31"/>
      <c r="AV14" s="25">
        <v>2.0</v>
      </c>
    </row>
    <row r="15">
      <c r="A15" s="23">
        <f t="shared" si="5"/>
        <v>12</v>
      </c>
      <c r="B15" s="24" t="s">
        <v>52</v>
      </c>
      <c r="C15" s="24" t="s">
        <v>53</v>
      </c>
      <c r="D15" s="24" t="s">
        <v>59</v>
      </c>
      <c r="E15" s="25">
        <v>1.0</v>
      </c>
      <c r="F15" s="25">
        <v>0.0</v>
      </c>
      <c r="G15" s="25">
        <f t="shared" si="1"/>
        <v>1</v>
      </c>
      <c r="H15" s="26"/>
      <c r="I15" s="26"/>
      <c r="J15" s="26"/>
      <c r="K15" s="26"/>
      <c r="L15" s="26"/>
      <c r="M15" s="27">
        <v>1.0</v>
      </c>
      <c r="N15" s="26"/>
      <c r="O15" s="26"/>
      <c r="P15" s="26"/>
      <c r="Q15" s="26"/>
      <c r="R15" s="26"/>
      <c r="S15" s="26"/>
      <c r="T15" s="26"/>
      <c r="U15" s="26"/>
      <c r="V15" s="26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>
        <f t="shared" si="2"/>
        <v>1</v>
      </c>
      <c r="AL15" s="28">
        <v>0.0</v>
      </c>
      <c r="AM15" s="25" t="s">
        <v>46</v>
      </c>
      <c r="AN15" s="29">
        <v>2175696.0</v>
      </c>
      <c r="AO15" s="29">
        <f t="shared" si="3"/>
        <v>2175696</v>
      </c>
      <c r="AP15" s="30" t="str">
        <f t="shared" si="4"/>
        <v>&gt;1 tahun</v>
      </c>
      <c r="AQ15" s="31"/>
      <c r="AR15" s="31"/>
      <c r="AS15" s="31"/>
      <c r="AT15" s="31"/>
      <c r="AU15" s="31"/>
      <c r="AV15" s="25">
        <v>1.0</v>
      </c>
    </row>
    <row r="16">
      <c r="A16" s="23">
        <f t="shared" si="5"/>
        <v>13</v>
      </c>
      <c r="B16" s="24" t="s">
        <v>60</v>
      </c>
      <c r="C16" s="24" t="s">
        <v>61</v>
      </c>
      <c r="D16" s="24" t="s">
        <v>62</v>
      </c>
      <c r="E16" s="25">
        <v>12.0</v>
      </c>
      <c r="F16" s="25">
        <v>0.0</v>
      </c>
      <c r="G16" s="25">
        <f t="shared" si="1"/>
        <v>12</v>
      </c>
      <c r="H16" s="26"/>
      <c r="I16" s="26"/>
      <c r="J16" s="26"/>
      <c r="K16" s="26"/>
      <c r="L16" s="26"/>
      <c r="M16" s="27">
        <v>12.0</v>
      </c>
      <c r="N16" s="26"/>
      <c r="O16" s="26"/>
      <c r="P16" s="26"/>
      <c r="Q16" s="26"/>
      <c r="R16" s="26"/>
      <c r="S16" s="26"/>
      <c r="T16" s="26"/>
      <c r="U16" s="26"/>
      <c r="V16" s="26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>
        <f t="shared" si="2"/>
        <v>12</v>
      </c>
      <c r="AL16" s="28">
        <v>0.0</v>
      </c>
      <c r="AM16" s="25" t="s">
        <v>63</v>
      </c>
      <c r="AN16" s="29">
        <v>1.4574637E7</v>
      </c>
      <c r="AO16" s="29">
        <f t="shared" si="3"/>
        <v>174895644</v>
      </c>
      <c r="AP16" s="30" t="str">
        <f t="shared" si="4"/>
        <v>&gt;1 tahun</v>
      </c>
      <c r="AQ16" s="31"/>
      <c r="AR16" s="31"/>
      <c r="AS16" s="31"/>
      <c r="AT16" s="31"/>
      <c r="AU16" s="31"/>
      <c r="AV16" s="25">
        <v>12.0</v>
      </c>
    </row>
    <row r="17">
      <c r="A17" s="23">
        <f t="shared" si="5"/>
        <v>14</v>
      </c>
      <c r="B17" s="24" t="s">
        <v>64</v>
      </c>
      <c r="C17" s="24" t="s">
        <v>65</v>
      </c>
      <c r="D17" s="24" t="s">
        <v>66</v>
      </c>
      <c r="E17" s="25">
        <v>3.0</v>
      </c>
      <c r="F17" s="25">
        <v>0.0</v>
      </c>
      <c r="G17" s="25">
        <f t="shared" si="1"/>
        <v>3</v>
      </c>
      <c r="H17" s="26"/>
      <c r="I17" s="26"/>
      <c r="J17" s="26"/>
      <c r="K17" s="26"/>
      <c r="L17" s="26"/>
      <c r="M17" s="27">
        <v>3.0</v>
      </c>
      <c r="N17" s="26"/>
      <c r="O17" s="26"/>
      <c r="P17" s="26"/>
      <c r="Q17" s="26"/>
      <c r="R17" s="26"/>
      <c r="S17" s="26"/>
      <c r="T17" s="26"/>
      <c r="U17" s="26"/>
      <c r="V17" s="26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>
        <f t="shared" si="2"/>
        <v>3</v>
      </c>
      <c r="AL17" s="28">
        <v>0.0</v>
      </c>
      <c r="AM17" s="25" t="s">
        <v>67</v>
      </c>
      <c r="AN17" s="29">
        <v>1.5348991E7</v>
      </c>
      <c r="AO17" s="29">
        <f t="shared" si="3"/>
        <v>46046973</v>
      </c>
      <c r="AP17" s="30" t="str">
        <f t="shared" si="4"/>
        <v>&gt;1 tahun</v>
      </c>
      <c r="AQ17" s="31"/>
      <c r="AR17" s="31"/>
      <c r="AS17" s="31"/>
      <c r="AT17" s="31"/>
      <c r="AU17" s="31"/>
      <c r="AV17" s="25">
        <v>3.0</v>
      </c>
    </row>
    <row r="18">
      <c r="A18" s="23">
        <f t="shared" si="5"/>
        <v>15</v>
      </c>
      <c r="B18" s="24" t="s">
        <v>64</v>
      </c>
      <c r="C18" s="24" t="s">
        <v>65</v>
      </c>
      <c r="D18" s="24" t="s">
        <v>68</v>
      </c>
      <c r="E18" s="25">
        <v>261.0</v>
      </c>
      <c r="F18" s="25">
        <v>0.0</v>
      </c>
      <c r="G18" s="25">
        <f t="shared" si="1"/>
        <v>261</v>
      </c>
      <c r="H18" s="26"/>
      <c r="I18" s="26"/>
      <c r="J18" s="26"/>
      <c r="K18" s="26"/>
      <c r="L18" s="26"/>
      <c r="M18" s="27">
        <v>233.0</v>
      </c>
      <c r="N18" s="26"/>
      <c r="O18" s="26"/>
      <c r="P18" s="27">
        <f>261-233</f>
        <v>28</v>
      </c>
      <c r="Q18" s="26"/>
      <c r="R18" s="26"/>
      <c r="S18" s="26"/>
      <c r="T18" s="26"/>
      <c r="U18" s="26"/>
      <c r="V18" s="26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>
        <f t="shared" si="2"/>
        <v>261</v>
      </c>
      <c r="AL18" s="28">
        <v>0.0</v>
      </c>
      <c r="AM18" s="25" t="s">
        <v>67</v>
      </c>
      <c r="AN18" s="29">
        <v>1.7243695E7</v>
      </c>
      <c r="AO18" s="29">
        <f t="shared" si="3"/>
        <v>4500604395</v>
      </c>
      <c r="AP18" s="30" t="str">
        <f t="shared" si="4"/>
        <v>&gt;1 tahun</v>
      </c>
      <c r="AQ18" s="31"/>
      <c r="AR18" s="31"/>
      <c r="AS18" s="31"/>
      <c r="AT18" s="31"/>
      <c r="AU18" s="31"/>
      <c r="AV18" s="25">
        <v>261.0</v>
      </c>
    </row>
    <row r="19">
      <c r="A19" s="23">
        <f t="shared" si="5"/>
        <v>16</v>
      </c>
      <c r="B19" s="24" t="s">
        <v>69</v>
      </c>
      <c r="C19" s="24" t="s">
        <v>70</v>
      </c>
      <c r="D19" s="24" t="s">
        <v>71</v>
      </c>
      <c r="E19" s="25">
        <v>2.0</v>
      </c>
      <c r="F19" s="25">
        <v>0.0</v>
      </c>
      <c r="G19" s="25">
        <f t="shared" si="1"/>
        <v>2</v>
      </c>
      <c r="H19" s="26"/>
      <c r="I19" s="26"/>
      <c r="J19" s="26"/>
      <c r="K19" s="26"/>
      <c r="L19" s="26"/>
      <c r="M19" s="26"/>
      <c r="N19" s="26"/>
      <c r="O19" s="26"/>
      <c r="P19" s="27">
        <v>2.0</v>
      </c>
      <c r="Q19" s="26"/>
      <c r="R19" s="26"/>
      <c r="S19" s="26"/>
      <c r="T19" s="26"/>
      <c r="U19" s="26"/>
      <c r="V19" s="26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>
        <f t="shared" si="2"/>
        <v>2</v>
      </c>
      <c r="AL19" s="28">
        <v>0.0</v>
      </c>
      <c r="AM19" s="25" t="s">
        <v>67</v>
      </c>
      <c r="AN19" s="29">
        <v>2.138227E7</v>
      </c>
      <c r="AO19" s="29">
        <f t="shared" si="3"/>
        <v>42764540</v>
      </c>
      <c r="AP19" s="30" t="str">
        <f t="shared" si="4"/>
        <v>&gt;1 tahun</v>
      </c>
      <c r="AQ19" s="31"/>
      <c r="AR19" s="31"/>
      <c r="AS19" s="31"/>
      <c r="AT19" s="31"/>
      <c r="AU19" s="31"/>
      <c r="AV19" s="25">
        <v>2.0</v>
      </c>
    </row>
    <row r="20">
      <c r="A20" s="23">
        <f t="shared" si="5"/>
        <v>17</v>
      </c>
      <c r="B20" s="24" t="s">
        <v>69</v>
      </c>
      <c r="C20" s="24" t="s">
        <v>72</v>
      </c>
      <c r="D20" s="24" t="s">
        <v>73</v>
      </c>
      <c r="E20" s="25">
        <v>3.0</v>
      </c>
      <c r="F20" s="25">
        <v>0.0</v>
      </c>
      <c r="G20" s="25">
        <f t="shared" si="1"/>
        <v>3</v>
      </c>
      <c r="H20" s="26"/>
      <c r="I20" s="26"/>
      <c r="J20" s="26"/>
      <c r="K20" s="26"/>
      <c r="L20" s="26"/>
      <c r="M20" s="26"/>
      <c r="N20" s="26"/>
      <c r="O20" s="26"/>
      <c r="P20" s="27">
        <v>3.0</v>
      </c>
      <c r="Q20" s="26"/>
      <c r="R20" s="26"/>
      <c r="S20" s="26"/>
      <c r="T20" s="26"/>
      <c r="U20" s="26"/>
      <c r="V20" s="26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>
        <f t="shared" si="2"/>
        <v>3</v>
      </c>
      <c r="AL20" s="28">
        <v>0.0</v>
      </c>
      <c r="AM20" s="25" t="s">
        <v>67</v>
      </c>
      <c r="AN20" s="29">
        <v>3.7058925E7</v>
      </c>
      <c r="AO20" s="29">
        <f t="shared" si="3"/>
        <v>111176775</v>
      </c>
      <c r="AP20" s="30" t="str">
        <f t="shared" si="4"/>
        <v>&gt;1 tahun</v>
      </c>
      <c r="AQ20" s="31"/>
      <c r="AR20" s="31"/>
      <c r="AS20" s="31"/>
      <c r="AT20" s="31"/>
      <c r="AU20" s="31"/>
      <c r="AV20" s="25">
        <v>3.0</v>
      </c>
    </row>
    <row r="21">
      <c r="A21" s="23">
        <f t="shared" si="5"/>
        <v>18</v>
      </c>
      <c r="B21" s="24" t="s">
        <v>74</v>
      </c>
      <c r="C21" s="24" t="s">
        <v>75</v>
      </c>
      <c r="D21" s="24" t="s">
        <v>76</v>
      </c>
      <c r="E21" s="25">
        <v>0.0</v>
      </c>
      <c r="F21" s="25">
        <v>0.0</v>
      </c>
      <c r="G21" s="25">
        <f t="shared" si="1"/>
        <v>0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>
        <f t="shared" si="2"/>
        <v>0</v>
      </c>
      <c r="AL21" s="28">
        <v>0.0</v>
      </c>
      <c r="AM21" s="25" t="s">
        <v>46</v>
      </c>
      <c r="AN21" s="29">
        <v>0.0</v>
      </c>
      <c r="AO21" s="29">
        <f t="shared" si="3"/>
        <v>0</v>
      </c>
      <c r="AP21" s="32" t="str">
        <f t="shared" si="4"/>
        <v/>
      </c>
      <c r="AQ21" s="31"/>
      <c r="AR21" s="31"/>
      <c r="AS21" s="31"/>
      <c r="AT21" s="31"/>
      <c r="AU21" s="31"/>
      <c r="AV21" s="26"/>
    </row>
    <row r="22">
      <c r="A22" s="23">
        <f t="shared" si="5"/>
        <v>19</v>
      </c>
      <c r="B22" s="24" t="s">
        <v>74</v>
      </c>
      <c r="C22" s="24" t="s">
        <v>77</v>
      </c>
      <c r="D22" s="24" t="s">
        <v>78</v>
      </c>
      <c r="E22" s="25">
        <v>0.0</v>
      </c>
      <c r="F22" s="25">
        <v>0.0</v>
      </c>
      <c r="G22" s="25">
        <f t="shared" si="1"/>
        <v>0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>
        <f t="shared" si="2"/>
        <v>0</v>
      </c>
      <c r="AL22" s="28">
        <v>0.0</v>
      </c>
      <c r="AM22" s="25" t="s">
        <v>46</v>
      </c>
      <c r="AN22" s="29">
        <v>0.0</v>
      </c>
      <c r="AO22" s="29">
        <f t="shared" si="3"/>
        <v>0</v>
      </c>
      <c r="AP22" s="32" t="str">
        <f t="shared" si="4"/>
        <v/>
      </c>
      <c r="AQ22" s="31"/>
      <c r="AR22" s="31"/>
      <c r="AS22" s="31"/>
      <c r="AT22" s="31"/>
      <c r="AU22" s="31"/>
      <c r="AV22" s="26"/>
    </row>
    <row r="23">
      <c r="A23" s="23">
        <f t="shared" si="5"/>
        <v>20</v>
      </c>
      <c r="B23" s="24" t="s">
        <v>74</v>
      </c>
      <c r="C23" s="24" t="s">
        <v>79</v>
      </c>
      <c r="D23" s="24" t="s">
        <v>80</v>
      </c>
      <c r="E23" s="25">
        <v>0.0</v>
      </c>
      <c r="F23" s="25">
        <v>0.0</v>
      </c>
      <c r="G23" s="25">
        <f t="shared" si="1"/>
        <v>0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>
        <f t="shared" si="2"/>
        <v>0</v>
      </c>
      <c r="AL23" s="28">
        <v>0.0</v>
      </c>
      <c r="AM23" s="25" t="s">
        <v>46</v>
      </c>
      <c r="AN23" s="29">
        <v>0.0</v>
      </c>
      <c r="AO23" s="29">
        <f t="shared" si="3"/>
        <v>0</v>
      </c>
      <c r="AP23" s="32" t="str">
        <f t="shared" si="4"/>
        <v/>
      </c>
      <c r="AQ23" s="31"/>
      <c r="AR23" s="31"/>
      <c r="AS23" s="31"/>
      <c r="AT23" s="31"/>
      <c r="AU23" s="31"/>
      <c r="AV23" s="26"/>
    </row>
    <row r="24">
      <c r="A24" s="23">
        <f t="shared" si="5"/>
        <v>21</v>
      </c>
      <c r="B24" s="24" t="s">
        <v>74</v>
      </c>
      <c r="C24" s="24" t="s">
        <v>81</v>
      </c>
      <c r="D24" s="24" t="s">
        <v>82</v>
      </c>
      <c r="E24" s="25">
        <v>0.0</v>
      </c>
      <c r="F24" s="25">
        <v>0.0</v>
      </c>
      <c r="G24" s="25">
        <f t="shared" si="1"/>
        <v>0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>
        <f t="shared" si="2"/>
        <v>0</v>
      </c>
      <c r="AL24" s="28">
        <v>0.0</v>
      </c>
      <c r="AM24" s="25" t="s">
        <v>46</v>
      </c>
      <c r="AN24" s="29">
        <v>0.0</v>
      </c>
      <c r="AO24" s="29">
        <f t="shared" si="3"/>
        <v>0</v>
      </c>
      <c r="AP24" s="32" t="str">
        <f t="shared" si="4"/>
        <v/>
      </c>
      <c r="AQ24" s="31"/>
      <c r="AR24" s="31"/>
      <c r="AS24" s="31"/>
      <c r="AT24" s="31"/>
      <c r="AU24" s="31"/>
      <c r="AV24" s="26"/>
    </row>
    <row r="25">
      <c r="A25" s="23">
        <f t="shared" si="5"/>
        <v>22</v>
      </c>
      <c r="B25" s="24" t="s">
        <v>74</v>
      </c>
      <c r="C25" s="24" t="s">
        <v>83</v>
      </c>
      <c r="D25" s="24" t="s">
        <v>84</v>
      </c>
      <c r="E25" s="25">
        <v>54.0</v>
      </c>
      <c r="F25" s="25">
        <v>0.0</v>
      </c>
      <c r="G25" s="25">
        <f t="shared" si="1"/>
        <v>54</v>
      </c>
      <c r="H25" s="26"/>
      <c r="I25" s="26"/>
      <c r="J25" s="26"/>
      <c r="K25" s="26"/>
      <c r="L25" s="26"/>
      <c r="M25" s="26"/>
      <c r="N25" s="27">
        <v>14.0</v>
      </c>
      <c r="O25" s="27">
        <v>40.0</v>
      </c>
      <c r="P25" s="26"/>
      <c r="Q25" s="26"/>
      <c r="R25" s="26"/>
      <c r="S25" s="26"/>
      <c r="T25" s="26"/>
      <c r="U25" s="26"/>
      <c r="V25" s="26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>
        <f t="shared" si="2"/>
        <v>54</v>
      </c>
      <c r="AL25" s="28">
        <v>0.0</v>
      </c>
      <c r="AM25" s="25" t="s">
        <v>46</v>
      </c>
      <c r="AN25" s="29">
        <v>1.5247095E7</v>
      </c>
      <c r="AO25" s="29">
        <f t="shared" si="3"/>
        <v>823343130</v>
      </c>
      <c r="AP25" s="30" t="str">
        <f t="shared" si="4"/>
        <v>&gt;1 tahun</v>
      </c>
      <c r="AQ25" s="31"/>
      <c r="AR25" s="31"/>
      <c r="AS25" s="31"/>
      <c r="AT25" s="31"/>
      <c r="AU25" s="31"/>
      <c r="AV25" s="25">
        <v>54.0</v>
      </c>
    </row>
    <row r="26">
      <c r="A26" s="23">
        <f t="shared" si="5"/>
        <v>23</v>
      </c>
      <c r="B26" s="24" t="s">
        <v>74</v>
      </c>
      <c r="C26" s="24" t="s">
        <v>85</v>
      </c>
      <c r="D26" s="24" t="s">
        <v>86</v>
      </c>
      <c r="E26" s="25">
        <v>0.0</v>
      </c>
      <c r="F26" s="25">
        <v>0.0</v>
      </c>
      <c r="G26" s="25">
        <f t="shared" si="1"/>
        <v>0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>
        <f t="shared" si="2"/>
        <v>0</v>
      </c>
      <c r="AL26" s="28">
        <v>0.0</v>
      </c>
      <c r="AM26" s="25" t="s">
        <v>46</v>
      </c>
      <c r="AN26" s="29">
        <v>0.0</v>
      </c>
      <c r="AO26" s="29">
        <f t="shared" si="3"/>
        <v>0</v>
      </c>
      <c r="AP26" s="32" t="str">
        <f t="shared" si="4"/>
        <v/>
      </c>
      <c r="AQ26" s="31"/>
      <c r="AR26" s="31"/>
      <c r="AS26" s="31"/>
      <c r="AT26" s="31"/>
      <c r="AU26" s="31"/>
      <c r="AV26" s="31"/>
    </row>
    <row r="27">
      <c r="A27" s="23">
        <f t="shared" si="5"/>
        <v>24</v>
      </c>
      <c r="B27" s="24" t="s">
        <v>74</v>
      </c>
      <c r="C27" s="24" t="s">
        <v>87</v>
      </c>
      <c r="D27" s="24" t="s">
        <v>88</v>
      </c>
      <c r="E27" s="25">
        <v>0.0</v>
      </c>
      <c r="F27" s="25">
        <v>0.0</v>
      </c>
      <c r="G27" s="25">
        <f t="shared" si="1"/>
        <v>0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>
        <f t="shared" si="2"/>
        <v>0</v>
      </c>
      <c r="AL27" s="28">
        <v>0.0</v>
      </c>
      <c r="AM27" s="25" t="s">
        <v>46</v>
      </c>
      <c r="AN27" s="29">
        <v>0.0</v>
      </c>
      <c r="AO27" s="29">
        <f t="shared" si="3"/>
        <v>0</v>
      </c>
      <c r="AP27" s="32" t="str">
        <f t="shared" si="4"/>
        <v/>
      </c>
      <c r="AQ27" s="31"/>
      <c r="AR27" s="31"/>
      <c r="AS27" s="31"/>
      <c r="AT27" s="31"/>
      <c r="AU27" s="31"/>
      <c r="AV27" s="31"/>
    </row>
    <row r="28">
      <c r="A28" s="23">
        <f t="shared" si="5"/>
        <v>25</v>
      </c>
      <c r="B28" s="24" t="s">
        <v>89</v>
      </c>
      <c r="C28" s="24" t="s">
        <v>90</v>
      </c>
      <c r="D28" s="24" t="s">
        <v>91</v>
      </c>
      <c r="E28" s="25">
        <v>3.0</v>
      </c>
      <c r="F28" s="25">
        <v>0.0</v>
      </c>
      <c r="G28" s="25">
        <f t="shared" si="1"/>
        <v>3</v>
      </c>
      <c r="H28" s="26"/>
      <c r="I28" s="26"/>
      <c r="J28" s="26"/>
      <c r="K28" s="26"/>
      <c r="L28" s="26"/>
      <c r="M28" s="26"/>
      <c r="N28" s="26"/>
      <c r="O28" s="26"/>
      <c r="P28" s="27">
        <v>3.0</v>
      </c>
      <c r="Q28" s="26"/>
      <c r="R28" s="26"/>
      <c r="S28" s="26"/>
      <c r="T28" s="26"/>
      <c r="U28" s="26"/>
      <c r="V28" s="26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>
        <f t="shared" si="2"/>
        <v>3</v>
      </c>
      <c r="AL28" s="28">
        <v>0.0</v>
      </c>
      <c r="AM28" s="25" t="s">
        <v>67</v>
      </c>
      <c r="AN28" s="29">
        <v>4454697.0</v>
      </c>
      <c r="AO28" s="29">
        <f t="shared" si="3"/>
        <v>13364091</v>
      </c>
      <c r="AP28" s="30" t="str">
        <f t="shared" si="4"/>
        <v>&gt;1 tahun</v>
      </c>
      <c r="AQ28" s="31"/>
      <c r="AR28" s="31"/>
      <c r="AS28" s="31"/>
      <c r="AT28" s="31"/>
      <c r="AU28" s="31"/>
      <c r="AV28" s="25">
        <v>3.0</v>
      </c>
    </row>
    <row r="29">
      <c r="A29" s="23">
        <f t="shared" si="5"/>
        <v>26</v>
      </c>
      <c r="B29" s="24" t="s">
        <v>92</v>
      </c>
      <c r="C29" s="24" t="s">
        <v>93</v>
      </c>
      <c r="D29" s="24" t="s">
        <v>94</v>
      </c>
      <c r="E29" s="25">
        <v>148.0</v>
      </c>
      <c r="F29" s="25">
        <v>0.0</v>
      </c>
      <c r="G29" s="25">
        <f t="shared" si="1"/>
        <v>148</v>
      </c>
      <c r="H29" s="26"/>
      <c r="I29" s="26"/>
      <c r="J29" s="26"/>
      <c r="K29" s="26"/>
      <c r="L29" s="26"/>
      <c r="M29" s="26"/>
      <c r="N29" s="27">
        <v>95.0</v>
      </c>
      <c r="O29" s="26"/>
      <c r="P29" s="26"/>
      <c r="Q29" s="26"/>
      <c r="R29" s="26"/>
      <c r="S29" s="27">
        <f>148-95</f>
        <v>53</v>
      </c>
      <c r="T29" s="26"/>
      <c r="U29" s="26"/>
      <c r="V29" s="26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>
        <f t="shared" si="2"/>
        <v>148</v>
      </c>
      <c r="AL29" s="28">
        <v>0.0</v>
      </c>
      <c r="AM29" s="25" t="s">
        <v>63</v>
      </c>
      <c r="AN29" s="29">
        <v>5188001.0</v>
      </c>
      <c r="AO29" s="29">
        <f t="shared" si="3"/>
        <v>767824148</v>
      </c>
      <c r="AP29" s="30" t="str">
        <f t="shared" si="4"/>
        <v>&gt;1 tahun</v>
      </c>
      <c r="AQ29" s="31"/>
      <c r="AR29" s="31"/>
      <c r="AS29" s="31"/>
      <c r="AT29" s="31"/>
      <c r="AU29" s="31"/>
      <c r="AV29" s="25">
        <v>148.0</v>
      </c>
    </row>
    <row r="30">
      <c r="A30" s="23">
        <f t="shared" si="5"/>
        <v>27</v>
      </c>
      <c r="B30" s="24" t="s">
        <v>92</v>
      </c>
      <c r="C30" s="24" t="s">
        <v>93</v>
      </c>
      <c r="D30" s="24" t="s">
        <v>95</v>
      </c>
      <c r="E30" s="25">
        <v>148.0</v>
      </c>
      <c r="F30" s="25">
        <v>0.0</v>
      </c>
      <c r="G30" s="25">
        <f t="shared" si="1"/>
        <v>148</v>
      </c>
      <c r="H30" s="26"/>
      <c r="I30" s="26"/>
      <c r="J30" s="26"/>
      <c r="K30" s="26"/>
      <c r="L30" s="26"/>
      <c r="M30" s="26"/>
      <c r="N30" s="27">
        <v>113.0</v>
      </c>
      <c r="O30" s="26"/>
      <c r="P30" s="26"/>
      <c r="Q30" s="26"/>
      <c r="R30" s="26"/>
      <c r="S30" s="27">
        <f>148-113</f>
        <v>35</v>
      </c>
      <c r="T30" s="26"/>
      <c r="U30" s="26"/>
      <c r="V30" s="26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>
        <f t="shared" si="2"/>
        <v>148</v>
      </c>
      <c r="AL30" s="28">
        <v>0.0</v>
      </c>
      <c r="AM30" s="25" t="s">
        <v>63</v>
      </c>
      <c r="AN30" s="29">
        <v>4077866.0</v>
      </c>
      <c r="AO30" s="29">
        <f t="shared" si="3"/>
        <v>603524168</v>
      </c>
      <c r="AP30" s="30" t="str">
        <f t="shared" si="4"/>
        <v>&gt;1 tahun</v>
      </c>
      <c r="AQ30" s="31"/>
      <c r="AR30" s="31"/>
      <c r="AS30" s="31"/>
      <c r="AT30" s="31"/>
      <c r="AU30" s="31"/>
      <c r="AV30" s="25">
        <v>148.0</v>
      </c>
    </row>
    <row r="31">
      <c r="A31" s="23">
        <f t="shared" si="5"/>
        <v>28</v>
      </c>
      <c r="B31" s="24" t="s">
        <v>92</v>
      </c>
      <c r="C31" s="24" t="s">
        <v>93</v>
      </c>
      <c r="D31" s="24" t="s">
        <v>96</v>
      </c>
      <c r="E31" s="25">
        <v>93.0</v>
      </c>
      <c r="F31" s="25">
        <v>0.0</v>
      </c>
      <c r="G31" s="25">
        <f t="shared" si="1"/>
        <v>93</v>
      </c>
      <c r="H31" s="26"/>
      <c r="I31" s="26"/>
      <c r="J31" s="26"/>
      <c r="K31" s="26"/>
      <c r="L31" s="26"/>
      <c r="M31" s="26"/>
      <c r="N31" s="26"/>
      <c r="O31" s="27">
        <v>93.0</v>
      </c>
      <c r="P31" s="26"/>
      <c r="Q31" s="26"/>
      <c r="R31" s="26"/>
      <c r="S31" s="26"/>
      <c r="T31" s="26"/>
      <c r="U31" s="26"/>
      <c r="V31" s="26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>
        <f t="shared" si="2"/>
        <v>93</v>
      </c>
      <c r="AL31" s="28">
        <v>0.0</v>
      </c>
      <c r="AM31" s="25" t="s">
        <v>63</v>
      </c>
      <c r="AN31" s="29">
        <v>5585190.0</v>
      </c>
      <c r="AO31" s="29">
        <f t="shared" si="3"/>
        <v>519422670</v>
      </c>
      <c r="AP31" s="30" t="str">
        <f t="shared" si="4"/>
        <v>&gt;1 tahun</v>
      </c>
      <c r="AQ31" s="31"/>
      <c r="AR31" s="31"/>
      <c r="AS31" s="31"/>
      <c r="AT31" s="31"/>
      <c r="AU31" s="31"/>
      <c r="AV31" s="25">
        <v>93.0</v>
      </c>
    </row>
    <row r="32">
      <c r="A32" s="23">
        <f t="shared" si="5"/>
        <v>29</v>
      </c>
      <c r="B32" s="24" t="s">
        <v>92</v>
      </c>
      <c r="C32" s="24" t="s">
        <v>93</v>
      </c>
      <c r="D32" s="24" t="s">
        <v>97</v>
      </c>
      <c r="E32" s="25">
        <v>192.0</v>
      </c>
      <c r="F32" s="25">
        <v>0.0</v>
      </c>
      <c r="G32" s="25">
        <f t="shared" si="1"/>
        <v>192</v>
      </c>
      <c r="H32" s="26"/>
      <c r="I32" s="26"/>
      <c r="J32" s="26"/>
      <c r="K32" s="26"/>
      <c r="L32" s="26"/>
      <c r="M32" s="26"/>
      <c r="N32" s="27">
        <v>42.0</v>
      </c>
      <c r="O32" s="27">
        <v>101.0</v>
      </c>
      <c r="P32" s="26"/>
      <c r="Q32" s="26"/>
      <c r="R32" s="26"/>
      <c r="S32" s="27">
        <f>192-O32-N32</f>
        <v>49</v>
      </c>
      <c r="T32" s="26"/>
      <c r="U32" s="26"/>
      <c r="V32" s="26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>
        <f t="shared" si="2"/>
        <v>192</v>
      </c>
      <c r="AL32" s="28">
        <v>0.0</v>
      </c>
      <c r="AM32" s="25" t="s">
        <v>63</v>
      </c>
      <c r="AN32" s="29">
        <v>7047996.0</v>
      </c>
      <c r="AO32" s="29">
        <f t="shared" si="3"/>
        <v>1353215232</v>
      </c>
      <c r="AP32" s="30" t="str">
        <f t="shared" si="4"/>
        <v>&gt;1 tahun</v>
      </c>
      <c r="AQ32" s="31"/>
      <c r="AR32" s="31"/>
      <c r="AS32" s="31"/>
      <c r="AT32" s="31"/>
      <c r="AU32" s="31"/>
      <c r="AV32" s="25">
        <v>192.0</v>
      </c>
    </row>
    <row r="33">
      <c r="A33" s="23">
        <f t="shared" si="5"/>
        <v>30</v>
      </c>
      <c r="B33" s="24" t="s">
        <v>98</v>
      </c>
      <c r="C33" s="24" t="s">
        <v>99</v>
      </c>
      <c r="D33" s="24" t="s">
        <v>76</v>
      </c>
      <c r="E33" s="25">
        <v>8.0</v>
      </c>
      <c r="F33" s="25">
        <v>0.0</v>
      </c>
      <c r="G33" s="25">
        <f t="shared" si="1"/>
        <v>8</v>
      </c>
      <c r="H33" s="26"/>
      <c r="I33" s="26"/>
      <c r="J33" s="26"/>
      <c r="K33" s="26"/>
      <c r="L33" s="26"/>
      <c r="M33" s="27">
        <v>8.0</v>
      </c>
      <c r="N33" s="26"/>
      <c r="O33" s="26"/>
      <c r="P33" s="26"/>
      <c r="Q33" s="26"/>
      <c r="R33" s="26"/>
      <c r="S33" s="26"/>
      <c r="T33" s="26"/>
      <c r="U33" s="26"/>
      <c r="V33" s="26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>
        <f t="shared" si="2"/>
        <v>8</v>
      </c>
      <c r="AL33" s="28">
        <v>0.0</v>
      </c>
      <c r="AM33" s="25" t="s">
        <v>46</v>
      </c>
      <c r="AN33" s="29">
        <v>1.1369954E7</v>
      </c>
      <c r="AO33" s="29">
        <f t="shared" si="3"/>
        <v>90959632</v>
      </c>
      <c r="AP33" s="30" t="str">
        <f t="shared" si="4"/>
        <v>180-365 hari</v>
      </c>
      <c r="AQ33" s="31"/>
      <c r="AR33" s="31"/>
      <c r="AS33" s="31"/>
      <c r="AT33" s="31"/>
      <c r="AU33" s="25">
        <v>8.0</v>
      </c>
      <c r="AV33" s="31"/>
    </row>
    <row r="34">
      <c r="A34" s="23">
        <f t="shared" si="5"/>
        <v>31</v>
      </c>
      <c r="B34" s="24" t="s">
        <v>98</v>
      </c>
      <c r="C34" s="24" t="s">
        <v>100</v>
      </c>
      <c r="D34" s="24" t="s">
        <v>82</v>
      </c>
      <c r="E34" s="25">
        <v>130.0</v>
      </c>
      <c r="F34" s="25">
        <v>0.0</v>
      </c>
      <c r="G34" s="25">
        <f t="shared" si="1"/>
        <v>130</v>
      </c>
      <c r="H34" s="26"/>
      <c r="I34" s="26"/>
      <c r="J34" s="26"/>
      <c r="K34" s="26"/>
      <c r="L34" s="26"/>
      <c r="M34" s="27">
        <v>130.0</v>
      </c>
      <c r="N34" s="26"/>
      <c r="O34" s="26"/>
      <c r="P34" s="26"/>
      <c r="Q34" s="26"/>
      <c r="R34" s="26"/>
      <c r="S34" s="26"/>
      <c r="T34" s="26"/>
      <c r="U34" s="26"/>
      <c r="V34" s="26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>
        <f t="shared" si="2"/>
        <v>130</v>
      </c>
      <c r="AL34" s="28">
        <v>0.0</v>
      </c>
      <c r="AM34" s="25" t="s">
        <v>46</v>
      </c>
      <c r="AN34" s="29">
        <v>1.4388023E7</v>
      </c>
      <c r="AO34" s="29">
        <f t="shared" si="3"/>
        <v>1870442990</v>
      </c>
      <c r="AP34" s="30" t="str">
        <f t="shared" si="4"/>
        <v>180-365 hari</v>
      </c>
      <c r="AQ34" s="31"/>
      <c r="AR34" s="31"/>
      <c r="AS34" s="31"/>
      <c r="AT34" s="31"/>
      <c r="AU34" s="25">
        <v>130.0</v>
      </c>
      <c r="AV34" s="31"/>
    </row>
    <row r="35">
      <c r="A35" s="23">
        <f t="shared" si="5"/>
        <v>32</v>
      </c>
      <c r="B35" s="24" t="s">
        <v>98</v>
      </c>
      <c r="C35" s="24" t="s">
        <v>101</v>
      </c>
      <c r="D35" s="24" t="s">
        <v>88</v>
      </c>
      <c r="E35" s="25">
        <v>14.0</v>
      </c>
      <c r="F35" s="25">
        <v>0.0</v>
      </c>
      <c r="G35" s="25">
        <f t="shared" si="1"/>
        <v>14</v>
      </c>
      <c r="H35" s="26"/>
      <c r="I35" s="26"/>
      <c r="J35" s="26"/>
      <c r="K35" s="26"/>
      <c r="L35" s="26"/>
      <c r="M35" s="27">
        <v>14.0</v>
      </c>
      <c r="N35" s="26"/>
      <c r="O35" s="26"/>
      <c r="P35" s="26"/>
      <c r="Q35" s="26"/>
      <c r="R35" s="26"/>
      <c r="S35" s="26"/>
      <c r="T35" s="26"/>
      <c r="U35" s="26"/>
      <c r="V35" s="26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>
        <f t="shared" si="2"/>
        <v>14</v>
      </c>
      <c r="AL35" s="28">
        <v>0.0</v>
      </c>
      <c r="AM35" s="25" t="s">
        <v>46</v>
      </c>
      <c r="AN35" s="29">
        <v>1.3087248E7</v>
      </c>
      <c r="AO35" s="29">
        <f t="shared" si="3"/>
        <v>183221472</v>
      </c>
      <c r="AP35" s="30" t="str">
        <f t="shared" si="4"/>
        <v>180-365 hari</v>
      </c>
      <c r="AQ35" s="31"/>
      <c r="AR35" s="31"/>
      <c r="AS35" s="31"/>
      <c r="AT35" s="31"/>
      <c r="AU35" s="25">
        <v>14.0</v>
      </c>
      <c r="AV35" s="31"/>
    </row>
    <row r="36">
      <c r="A36" s="23">
        <f t="shared" si="5"/>
        <v>33</v>
      </c>
      <c r="B36" s="24" t="s">
        <v>98</v>
      </c>
      <c r="C36" s="24" t="s">
        <v>102</v>
      </c>
      <c r="D36" s="24" t="s">
        <v>78</v>
      </c>
      <c r="E36" s="25">
        <v>102.0</v>
      </c>
      <c r="F36" s="25">
        <v>0.0</v>
      </c>
      <c r="G36" s="25">
        <f t="shared" si="1"/>
        <v>102</v>
      </c>
      <c r="H36" s="26"/>
      <c r="I36" s="26"/>
      <c r="J36" s="26"/>
      <c r="K36" s="26"/>
      <c r="L36" s="26"/>
      <c r="M36" s="27">
        <v>102.0</v>
      </c>
      <c r="N36" s="26"/>
      <c r="O36" s="26"/>
      <c r="P36" s="26"/>
      <c r="Q36" s="26"/>
      <c r="R36" s="26"/>
      <c r="S36" s="26"/>
      <c r="T36" s="26"/>
      <c r="U36" s="26"/>
      <c r="V36" s="26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>
        <f t="shared" si="2"/>
        <v>102</v>
      </c>
      <c r="AL36" s="28">
        <v>0.0</v>
      </c>
      <c r="AM36" s="25" t="s">
        <v>46</v>
      </c>
      <c r="AN36" s="29">
        <v>9641409.0</v>
      </c>
      <c r="AO36" s="29">
        <f t="shared" si="3"/>
        <v>983423718</v>
      </c>
      <c r="AP36" s="30" t="str">
        <f t="shared" si="4"/>
        <v>180-365 hari</v>
      </c>
      <c r="AQ36" s="31"/>
      <c r="AR36" s="31"/>
      <c r="AS36" s="31"/>
      <c r="AT36" s="31"/>
      <c r="AU36" s="25">
        <v>102.0</v>
      </c>
      <c r="AV36" s="31"/>
    </row>
    <row r="37">
      <c r="A37" s="23">
        <f t="shared" si="5"/>
        <v>34</v>
      </c>
      <c r="B37" s="24" t="s">
        <v>103</v>
      </c>
      <c r="C37" s="24" t="s">
        <v>104</v>
      </c>
      <c r="D37" s="24" t="s">
        <v>105</v>
      </c>
      <c r="E37" s="25">
        <v>316.0</v>
      </c>
      <c r="F37" s="25">
        <v>0.0</v>
      </c>
      <c r="G37" s="25">
        <f t="shared" si="1"/>
        <v>316</v>
      </c>
      <c r="H37" s="26"/>
      <c r="I37" s="26"/>
      <c r="J37" s="26"/>
      <c r="K37" s="26"/>
      <c r="L37" s="26"/>
      <c r="M37" s="26"/>
      <c r="N37" s="27">
        <v>278.0</v>
      </c>
      <c r="O37" s="27">
        <f>316-278</f>
        <v>38</v>
      </c>
      <c r="P37" s="26"/>
      <c r="Q37" s="26"/>
      <c r="R37" s="26"/>
      <c r="S37" s="26"/>
      <c r="T37" s="26"/>
      <c r="U37" s="26"/>
      <c r="V37" s="26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>
        <f t="shared" si="2"/>
        <v>316</v>
      </c>
      <c r="AL37" s="28">
        <v>0.0</v>
      </c>
      <c r="AM37" s="25" t="s">
        <v>63</v>
      </c>
      <c r="AN37" s="29">
        <v>4771064.0</v>
      </c>
      <c r="AO37" s="29">
        <f t="shared" si="3"/>
        <v>1507656224</v>
      </c>
      <c r="AP37" s="30" t="str">
        <f t="shared" si="4"/>
        <v>60-90 hari</v>
      </c>
      <c r="AQ37" s="31"/>
      <c r="AR37" s="31"/>
      <c r="AS37" s="25">
        <v>316.0</v>
      </c>
      <c r="AT37" s="31"/>
      <c r="AU37" s="31"/>
      <c r="AV37" s="31"/>
    </row>
    <row r="38">
      <c r="A38" s="23">
        <f t="shared" si="5"/>
        <v>35</v>
      </c>
      <c r="B38" s="24" t="s">
        <v>106</v>
      </c>
      <c r="C38" s="24" t="s">
        <v>107</v>
      </c>
      <c r="D38" s="24" t="s">
        <v>108</v>
      </c>
      <c r="E38" s="25">
        <v>582.0</v>
      </c>
      <c r="F38" s="25">
        <v>0.0</v>
      </c>
      <c r="G38" s="25">
        <f t="shared" si="1"/>
        <v>582</v>
      </c>
      <c r="H38" s="26"/>
      <c r="I38" s="26"/>
      <c r="J38" s="26"/>
      <c r="K38" s="26"/>
      <c r="L38" s="26"/>
      <c r="M38" s="26"/>
      <c r="N38" s="27">
        <v>302.0</v>
      </c>
      <c r="O38" s="27">
        <f>582-302</f>
        <v>280</v>
      </c>
      <c r="P38" s="26"/>
      <c r="Q38" s="26"/>
      <c r="R38" s="26"/>
      <c r="S38" s="26"/>
      <c r="T38" s="26"/>
      <c r="U38" s="26"/>
      <c r="V38" s="26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>
        <f t="shared" si="2"/>
        <v>582</v>
      </c>
      <c r="AL38" s="28">
        <v>0.0</v>
      </c>
      <c r="AM38" s="25" t="s">
        <v>63</v>
      </c>
      <c r="AN38" s="29">
        <v>2740084.0</v>
      </c>
      <c r="AO38" s="29">
        <f t="shared" si="3"/>
        <v>1594728888</v>
      </c>
      <c r="AP38" s="30" t="str">
        <f t="shared" si="4"/>
        <v>60-90 hari</v>
      </c>
      <c r="AQ38" s="31"/>
      <c r="AR38" s="31"/>
      <c r="AS38" s="25">
        <v>582.0</v>
      </c>
      <c r="AT38" s="31"/>
      <c r="AU38" s="31"/>
      <c r="AV38" s="31"/>
    </row>
    <row r="39">
      <c r="A39" s="23">
        <f t="shared" si="5"/>
        <v>36</v>
      </c>
      <c r="B39" s="24" t="s">
        <v>106</v>
      </c>
      <c r="C39" s="24" t="s">
        <v>107</v>
      </c>
      <c r="D39" s="24" t="s">
        <v>109</v>
      </c>
      <c r="E39" s="25">
        <v>105.0</v>
      </c>
      <c r="F39" s="25">
        <v>0.0</v>
      </c>
      <c r="G39" s="25">
        <f t="shared" si="1"/>
        <v>105</v>
      </c>
      <c r="H39" s="26"/>
      <c r="I39" s="26"/>
      <c r="J39" s="26"/>
      <c r="K39" s="26"/>
      <c r="L39" s="26"/>
      <c r="M39" s="26"/>
      <c r="N39" s="26"/>
      <c r="O39" s="27">
        <f>105-60</f>
        <v>45</v>
      </c>
      <c r="P39" s="26"/>
      <c r="Q39" s="26"/>
      <c r="R39" s="26"/>
      <c r="S39" s="26"/>
      <c r="T39" s="26"/>
      <c r="U39" s="27">
        <v>60.0</v>
      </c>
      <c r="V39" s="26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>
        <f t="shared" si="2"/>
        <v>105</v>
      </c>
      <c r="AL39" s="28">
        <v>0.0</v>
      </c>
      <c r="AM39" s="25" t="s">
        <v>63</v>
      </c>
      <c r="AN39" s="29">
        <v>1741298.0</v>
      </c>
      <c r="AO39" s="29">
        <f t="shared" si="3"/>
        <v>182836290</v>
      </c>
      <c r="AP39" s="30" t="str">
        <f t="shared" si="4"/>
        <v>60-90 hari</v>
      </c>
      <c r="AQ39" s="31"/>
      <c r="AR39" s="31"/>
      <c r="AS39" s="25">
        <v>105.0</v>
      </c>
      <c r="AT39" s="31"/>
      <c r="AU39" s="31"/>
      <c r="AV39" s="31"/>
    </row>
    <row r="40">
      <c r="A40" s="23">
        <f t="shared" si="5"/>
        <v>37</v>
      </c>
      <c r="B40" s="24" t="s">
        <v>106</v>
      </c>
      <c r="C40" s="24" t="s">
        <v>107</v>
      </c>
      <c r="D40" s="24" t="s">
        <v>110</v>
      </c>
      <c r="E40" s="25">
        <v>1.262</v>
      </c>
      <c r="F40" s="25">
        <v>0.0</v>
      </c>
      <c r="G40" s="25">
        <f t="shared" si="1"/>
        <v>1.262</v>
      </c>
      <c r="H40" s="26"/>
      <c r="I40" s="26"/>
      <c r="J40" s="26"/>
      <c r="K40" s="26"/>
      <c r="L40" s="26"/>
      <c r="M40" s="26"/>
      <c r="N40" s="26"/>
      <c r="O40" s="27">
        <f>1262-625</f>
        <v>637</v>
      </c>
      <c r="P40" s="26"/>
      <c r="Q40" s="26"/>
      <c r="R40" s="26"/>
      <c r="S40" s="26"/>
      <c r="T40" s="26"/>
      <c r="U40" s="27">
        <v>625.0</v>
      </c>
      <c r="V40" s="26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>
        <f t="shared" si="2"/>
        <v>1262</v>
      </c>
      <c r="AL40" s="28">
        <v>0.0</v>
      </c>
      <c r="AM40" s="25" t="s">
        <v>63</v>
      </c>
      <c r="AN40" s="29">
        <v>2546222.0</v>
      </c>
      <c r="AO40" s="29">
        <f t="shared" si="3"/>
        <v>3213332164</v>
      </c>
      <c r="AP40" s="30" t="str">
        <f t="shared" si="4"/>
        <v>60-90 hari</v>
      </c>
      <c r="AQ40" s="31"/>
      <c r="AR40" s="31"/>
      <c r="AS40" s="25">
        <v>1.262</v>
      </c>
      <c r="AT40" s="31"/>
      <c r="AU40" s="31"/>
      <c r="AV40" s="31"/>
    </row>
    <row r="41">
      <c r="A41" s="23">
        <f t="shared" si="5"/>
        <v>38</v>
      </c>
      <c r="B41" s="24" t="s">
        <v>106</v>
      </c>
      <c r="C41" s="24" t="s">
        <v>107</v>
      </c>
      <c r="D41" s="24" t="s">
        <v>111</v>
      </c>
      <c r="E41" s="25">
        <v>411.0</v>
      </c>
      <c r="F41" s="25">
        <v>0.0</v>
      </c>
      <c r="G41" s="25">
        <f t="shared" si="1"/>
        <v>411</v>
      </c>
      <c r="H41" s="26"/>
      <c r="I41" s="26"/>
      <c r="J41" s="26"/>
      <c r="K41" s="26"/>
      <c r="L41" s="26"/>
      <c r="M41" s="26"/>
      <c r="N41" s="27">
        <v>112.0</v>
      </c>
      <c r="O41" s="27">
        <f>411-112</f>
        <v>299</v>
      </c>
      <c r="P41" s="26"/>
      <c r="Q41" s="26"/>
      <c r="R41" s="26"/>
      <c r="S41" s="26"/>
      <c r="T41" s="26"/>
      <c r="U41" s="26"/>
      <c r="V41" s="26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>
        <f t="shared" si="2"/>
        <v>411</v>
      </c>
      <c r="AL41" s="28">
        <v>0.0</v>
      </c>
      <c r="AM41" s="25" t="s">
        <v>63</v>
      </c>
      <c r="AN41" s="29">
        <v>2948684.0</v>
      </c>
      <c r="AO41" s="29">
        <f t="shared" si="3"/>
        <v>1211909124</v>
      </c>
      <c r="AP41" s="30" t="str">
        <f t="shared" si="4"/>
        <v>60-90 hari</v>
      </c>
      <c r="AQ41" s="31"/>
      <c r="AR41" s="31"/>
      <c r="AS41" s="25">
        <v>411.0</v>
      </c>
      <c r="AT41" s="31"/>
      <c r="AU41" s="31"/>
      <c r="AV41" s="31"/>
    </row>
    <row r="42">
      <c r="A42" s="23">
        <f t="shared" si="5"/>
        <v>39</v>
      </c>
      <c r="B42" s="24" t="s">
        <v>106</v>
      </c>
      <c r="C42" s="24" t="s">
        <v>112</v>
      </c>
      <c r="D42" s="24" t="s">
        <v>109</v>
      </c>
      <c r="E42" s="25">
        <v>1029.0</v>
      </c>
      <c r="F42" s="25">
        <v>0.0</v>
      </c>
      <c r="G42" s="25">
        <f t="shared" si="1"/>
        <v>1029</v>
      </c>
      <c r="H42" s="26"/>
      <c r="I42" s="26"/>
      <c r="J42" s="26"/>
      <c r="K42" s="26"/>
      <c r="L42" s="26"/>
      <c r="M42" s="26"/>
      <c r="N42" s="27">
        <f>1029-O42</f>
        <v>300</v>
      </c>
      <c r="O42" s="27">
        <v>729.0</v>
      </c>
      <c r="P42" s="26"/>
      <c r="Q42" s="26"/>
      <c r="R42" s="26"/>
      <c r="S42" s="26"/>
      <c r="T42" s="26"/>
      <c r="U42" s="26"/>
      <c r="V42" s="26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>
        <f t="shared" si="2"/>
        <v>1029</v>
      </c>
      <c r="AL42" s="28">
        <v>0.0</v>
      </c>
      <c r="AM42" s="25" t="s">
        <v>63</v>
      </c>
      <c r="AN42" s="29">
        <v>1741298.0</v>
      </c>
      <c r="AO42" s="29">
        <f t="shared" si="3"/>
        <v>1791795642</v>
      </c>
      <c r="AP42" s="30" t="str">
        <f t="shared" si="4"/>
        <v>60-90 hari</v>
      </c>
      <c r="AQ42" s="31"/>
      <c r="AR42" s="31"/>
      <c r="AS42" s="25">
        <v>1029.0</v>
      </c>
      <c r="AT42" s="31"/>
      <c r="AU42" s="31"/>
      <c r="AV42" s="31"/>
    </row>
    <row r="43">
      <c r="A43" s="23">
        <f t="shared" si="5"/>
        <v>40</v>
      </c>
      <c r="B43" s="24" t="s">
        <v>113</v>
      </c>
      <c r="C43" s="24" t="s">
        <v>114</v>
      </c>
      <c r="D43" s="24" t="s">
        <v>115</v>
      </c>
      <c r="E43" s="25">
        <v>110.0</v>
      </c>
      <c r="F43" s="25">
        <v>0.0</v>
      </c>
      <c r="G43" s="25">
        <f t="shared" si="1"/>
        <v>110</v>
      </c>
      <c r="H43" s="26"/>
      <c r="I43" s="26"/>
      <c r="J43" s="26"/>
      <c r="K43" s="26"/>
      <c r="L43" s="26"/>
      <c r="M43" s="26"/>
      <c r="N43" s="27">
        <v>72.0</v>
      </c>
      <c r="O43" s="27">
        <f>110-N43</f>
        <v>38</v>
      </c>
      <c r="P43" s="26"/>
      <c r="Q43" s="26"/>
      <c r="R43" s="26"/>
      <c r="S43" s="26"/>
      <c r="T43" s="26"/>
      <c r="U43" s="26"/>
      <c r="V43" s="26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>
        <f t="shared" si="2"/>
        <v>110</v>
      </c>
      <c r="AL43" s="28">
        <v>0.0</v>
      </c>
      <c r="AM43" s="25" t="s">
        <v>67</v>
      </c>
      <c r="AN43" s="29">
        <v>2622169.0</v>
      </c>
      <c r="AO43" s="29">
        <f t="shared" si="3"/>
        <v>288438590</v>
      </c>
      <c r="AP43" s="30" t="str">
        <f t="shared" si="4"/>
        <v>60-90 hari</v>
      </c>
      <c r="AQ43" s="31"/>
      <c r="AR43" s="31"/>
      <c r="AS43" s="25">
        <v>110.0</v>
      </c>
      <c r="AT43" s="31"/>
      <c r="AU43" s="31"/>
      <c r="AV43" s="31"/>
    </row>
    <row r="44">
      <c r="A44" s="23">
        <f t="shared" si="5"/>
        <v>41</v>
      </c>
      <c r="B44" s="24" t="s">
        <v>113</v>
      </c>
      <c r="C44" s="24" t="s">
        <v>114</v>
      </c>
      <c r="D44" s="24" t="s">
        <v>116</v>
      </c>
      <c r="E44" s="25">
        <v>47.0</v>
      </c>
      <c r="F44" s="25">
        <v>0.0</v>
      </c>
      <c r="G44" s="25">
        <f t="shared" si="1"/>
        <v>47</v>
      </c>
      <c r="H44" s="26"/>
      <c r="I44" s="26"/>
      <c r="J44" s="26"/>
      <c r="K44" s="26"/>
      <c r="L44" s="26"/>
      <c r="M44" s="26"/>
      <c r="N44" s="26"/>
      <c r="O44" s="27">
        <v>47.0</v>
      </c>
      <c r="P44" s="26"/>
      <c r="Q44" s="26"/>
      <c r="R44" s="26"/>
      <c r="S44" s="26"/>
      <c r="T44" s="26"/>
      <c r="U44" s="26"/>
      <c r="V44" s="26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>
        <f t="shared" si="2"/>
        <v>47</v>
      </c>
      <c r="AL44" s="28">
        <v>0.0</v>
      </c>
      <c r="AM44" s="25" t="s">
        <v>67</v>
      </c>
      <c r="AN44" s="29">
        <v>2924050.0</v>
      </c>
      <c r="AO44" s="29">
        <f t="shared" si="3"/>
        <v>137430350</v>
      </c>
      <c r="AP44" s="30" t="str">
        <f t="shared" si="4"/>
        <v>60-90 hari</v>
      </c>
      <c r="AQ44" s="31"/>
      <c r="AR44" s="31"/>
      <c r="AS44" s="25">
        <v>47.0</v>
      </c>
      <c r="AT44" s="31"/>
      <c r="AU44" s="31"/>
      <c r="AV44" s="31"/>
    </row>
    <row r="45">
      <c r="A45" s="23">
        <f t="shared" si="5"/>
        <v>42</v>
      </c>
      <c r="B45" s="24" t="s">
        <v>113</v>
      </c>
      <c r="C45" s="24" t="s">
        <v>114</v>
      </c>
      <c r="D45" s="24" t="s">
        <v>117</v>
      </c>
      <c r="E45" s="25">
        <v>236.0</v>
      </c>
      <c r="F45" s="25">
        <v>0.0</v>
      </c>
      <c r="G45" s="25">
        <f t="shared" si="1"/>
        <v>236</v>
      </c>
      <c r="H45" s="26"/>
      <c r="I45" s="26"/>
      <c r="J45" s="26"/>
      <c r="K45" s="26"/>
      <c r="L45" s="26"/>
      <c r="M45" s="26"/>
      <c r="N45" s="27">
        <f>236-O45</f>
        <v>112</v>
      </c>
      <c r="O45" s="27">
        <v>124.0</v>
      </c>
      <c r="P45" s="26"/>
      <c r="Q45" s="26"/>
      <c r="R45" s="26"/>
      <c r="S45" s="26"/>
      <c r="T45" s="26"/>
      <c r="U45" s="26"/>
      <c r="V45" s="26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>
        <f t="shared" si="2"/>
        <v>236</v>
      </c>
      <c r="AL45" s="28">
        <v>0.0</v>
      </c>
      <c r="AM45" s="25" t="s">
        <v>67</v>
      </c>
      <c r="AN45" s="29">
        <v>3225931.0</v>
      </c>
      <c r="AO45" s="29">
        <f t="shared" si="3"/>
        <v>761319716</v>
      </c>
      <c r="AP45" s="30" t="str">
        <f t="shared" si="4"/>
        <v>60-90 hari</v>
      </c>
      <c r="AQ45" s="31"/>
      <c r="AR45" s="31"/>
      <c r="AS45" s="25">
        <v>236.0</v>
      </c>
      <c r="AT45" s="31"/>
      <c r="AU45" s="31"/>
      <c r="AV45" s="31"/>
    </row>
    <row r="46">
      <c r="A46" s="23">
        <f t="shared" si="5"/>
        <v>43</v>
      </c>
      <c r="B46" s="24" t="s">
        <v>113</v>
      </c>
      <c r="C46" s="24" t="s">
        <v>114</v>
      </c>
      <c r="D46" s="24" t="s">
        <v>118</v>
      </c>
      <c r="E46" s="25">
        <v>50.0</v>
      </c>
      <c r="F46" s="25">
        <v>0.0</v>
      </c>
      <c r="G46" s="25">
        <f t="shared" si="1"/>
        <v>50</v>
      </c>
      <c r="H46" s="26"/>
      <c r="I46" s="26"/>
      <c r="J46" s="26"/>
      <c r="K46" s="26"/>
      <c r="L46" s="26"/>
      <c r="M46" s="26"/>
      <c r="N46" s="26"/>
      <c r="O46" s="27">
        <v>50.0</v>
      </c>
      <c r="P46" s="26"/>
      <c r="Q46" s="26"/>
      <c r="R46" s="26"/>
      <c r="S46" s="26"/>
      <c r="T46" s="26"/>
      <c r="U46" s="26"/>
      <c r="V46" s="26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>
        <f t="shared" si="2"/>
        <v>50</v>
      </c>
      <c r="AL46" s="28">
        <v>0.0</v>
      </c>
      <c r="AM46" s="25" t="s">
        <v>67</v>
      </c>
      <c r="AN46" s="29">
        <v>3527812.0</v>
      </c>
      <c r="AO46" s="29">
        <f t="shared" si="3"/>
        <v>176390600</v>
      </c>
      <c r="AP46" s="30" t="str">
        <f t="shared" si="4"/>
        <v>60-90 hari</v>
      </c>
      <c r="AQ46" s="31"/>
      <c r="AR46" s="31"/>
      <c r="AS46" s="25">
        <v>50.0</v>
      </c>
      <c r="AT46" s="31"/>
      <c r="AU46" s="31"/>
      <c r="AV46" s="31"/>
    </row>
    <row r="47">
      <c r="A47" s="23">
        <f t="shared" si="5"/>
        <v>44</v>
      </c>
      <c r="B47" s="24" t="s">
        <v>113</v>
      </c>
      <c r="C47" s="24" t="s">
        <v>114</v>
      </c>
      <c r="D47" s="24" t="s">
        <v>119</v>
      </c>
      <c r="E47" s="25">
        <v>24.0</v>
      </c>
      <c r="F47" s="25">
        <v>0.0</v>
      </c>
      <c r="G47" s="25">
        <f t="shared" si="1"/>
        <v>24</v>
      </c>
      <c r="H47" s="26"/>
      <c r="I47" s="26"/>
      <c r="J47" s="26"/>
      <c r="K47" s="26"/>
      <c r="L47" s="26"/>
      <c r="M47" s="26"/>
      <c r="N47" s="26"/>
      <c r="O47" s="27">
        <v>24.0</v>
      </c>
      <c r="P47" s="26"/>
      <c r="Q47" s="26"/>
      <c r="R47" s="26"/>
      <c r="S47" s="26"/>
      <c r="T47" s="26"/>
      <c r="U47" s="26"/>
      <c r="V47" s="26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>
        <f t="shared" si="2"/>
        <v>24</v>
      </c>
      <c r="AL47" s="28">
        <v>0.0</v>
      </c>
      <c r="AM47" s="25" t="s">
        <v>67</v>
      </c>
      <c r="AN47" s="29">
        <v>3829693.0</v>
      </c>
      <c r="AO47" s="29">
        <f t="shared" si="3"/>
        <v>91912632</v>
      </c>
      <c r="AP47" s="30" t="str">
        <f t="shared" si="4"/>
        <v>60-90 hari</v>
      </c>
      <c r="AQ47" s="31"/>
      <c r="AR47" s="31"/>
      <c r="AS47" s="25">
        <v>24.0</v>
      </c>
      <c r="AT47" s="31"/>
      <c r="AU47" s="31"/>
      <c r="AV47" s="31"/>
    </row>
    <row r="48">
      <c r="A48" s="23">
        <f t="shared" si="5"/>
        <v>45</v>
      </c>
      <c r="B48" s="24" t="s">
        <v>113</v>
      </c>
      <c r="C48" s="24" t="s">
        <v>114</v>
      </c>
      <c r="D48" s="24" t="s">
        <v>120</v>
      </c>
      <c r="E48" s="25">
        <v>697.0</v>
      </c>
      <c r="F48" s="25">
        <v>0.0</v>
      </c>
      <c r="G48" s="25">
        <f t="shared" si="1"/>
        <v>697</v>
      </c>
      <c r="H48" s="26"/>
      <c r="I48" s="26"/>
      <c r="J48" s="26"/>
      <c r="K48" s="26"/>
      <c r="L48" s="26"/>
      <c r="M48" s="26"/>
      <c r="N48" s="27">
        <f>697-421</f>
        <v>276</v>
      </c>
      <c r="O48" s="27">
        <v>421.0</v>
      </c>
      <c r="P48" s="26"/>
      <c r="Q48" s="26"/>
      <c r="R48" s="26"/>
      <c r="S48" s="26"/>
      <c r="T48" s="26"/>
      <c r="U48" s="26"/>
      <c r="V48" s="26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>
        <f t="shared" si="2"/>
        <v>697</v>
      </c>
      <c r="AL48" s="28">
        <v>0.0</v>
      </c>
      <c r="AM48" s="25" t="s">
        <v>67</v>
      </c>
      <c r="AN48" s="29">
        <v>4433455.0</v>
      </c>
      <c r="AO48" s="29">
        <f t="shared" si="3"/>
        <v>3090118135</v>
      </c>
      <c r="AP48" s="30" t="str">
        <f t="shared" si="4"/>
        <v>60-90 hari</v>
      </c>
      <c r="AQ48" s="31"/>
      <c r="AR48" s="31"/>
      <c r="AS48" s="25">
        <v>697.0</v>
      </c>
      <c r="AT48" s="31"/>
      <c r="AU48" s="31"/>
      <c r="AV48" s="31"/>
    </row>
    <row r="49">
      <c r="A49" s="23">
        <f t="shared" si="5"/>
        <v>46</v>
      </c>
      <c r="B49" s="24" t="s">
        <v>121</v>
      </c>
      <c r="C49" s="24" t="s">
        <v>122</v>
      </c>
      <c r="D49" s="24" t="s">
        <v>105</v>
      </c>
      <c r="E49" s="25">
        <v>14.0</v>
      </c>
      <c r="F49" s="25">
        <v>0.0</v>
      </c>
      <c r="G49" s="25">
        <f t="shared" si="1"/>
        <v>14</v>
      </c>
      <c r="H49" s="26"/>
      <c r="I49" s="26"/>
      <c r="J49" s="26"/>
      <c r="K49" s="26"/>
      <c r="L49" s="26"/>
      <c r="M49" s="26"/>
      <c r="N49" s="26"/>
      <c r="O49" s="27">
        <v>14.0</v>
      </c>
      <c r="P49" s="26"/>
      <c r="Q49" s="26"/>
      <c r="R49" s="26"/>
      <c r="S49" s="26"/>
      <c r="T49" s="26"/>
      <c r="U49" s="26"/>
      <c r="V49" s="26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>
        <f t="shared" si="2"/>
        <v>14</v>
      </c>
      <c r="AL49" s="28">
        <v>0.0</v>
      </c>
      <c r="AM49" s="25" t="s">
        <v>63</v>
      </c>
      <c r="AN49" s="29">
        <v>4742296.0</v>
      </c>
      <c r="AO49" s="29">
        <f t="shared" si="3"/>
        <v>66392144</v>
      </c>
      <c r="AP49" s="30" t="str">
        <f t="shared" si="4"/>
        <v>60-90 hari</v>
      </c>
      <c r="AQ49" s="31"/>
      <c r="AR49" s="31"/>
      <c r="AS49" s="25">
        <v>14.0</v>
      </c>
      <c r="AT49" s="31"/>
      <c r="AU49" s="31"/>
      <c r="AV49" s="31"/>
    </row>
    <row r="50">
      <c r="A50" s="23">
        <f t="shared" si="5"/>
        <v>47</v>
      </c>
      <c r="B50" s="24" t="s">
        <v>121</v>
      </c>
      <c r="C50" s="24" t="s">
        <v>122</v>
      </c>
      <c r="D50" s="24" t="s">
        <v>123</v>
      </c>
      <c r="E50" s="25">
        <v>464.0</v>
      </c>
      <c r="F50" s="25">
        <v>0.0</v>
      </c>
      <c r="G50" s="25">
        <f t="shared" si="1"/>
        <v>464</v>
      </c>
      <c r="H50" s="26"/>
      <c r="I50" s="26"/>
      <c r="J50" s="26"/>
      <c r="K50" s="26"/>
      <c r="L50" s="26"/>
      <c r="M50" s="26"/>
      <c r="N50" s="27">
        <v>200.0</v>
      </c>
      <c r="O50" s="27">
        <f>464-N50</f>
        <v>264</v>
      </c>
      <c r="P50" s="26"/>
      <c r="Q50" s="26"/>
      <c r="R50" s="26"/>
      <c r="S50" s="26"/>
      <c r="T50" s="26"/>
      <c r="U50" s="26"/>
      <c r="V50" s="26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>
        <f t="shared" si="2"/>
        <v>464</v>
      </c>
      <c r="AL50" s="28">
        <v>0.0</v>
      </c>
      <c r="AM50" s="25" t="s">
        <v>63</v>
      </c>
      <c r="AN50" s="29">
        <v>5031239.0</v>
      </c>
      <c r="AO50" s="29">
        <f t="shared" si="3"/>
        <v>2334494896</v>
      </c>
      <c r="AP50" s="30" t="str">
        <f t="shared" si="4"/>
        <v>60-90 hari</v>
      </c>
      <c r="AQ50" s="31"/>
      <c r="AR50" s="31"/>
      <c r="AS50" s="25">
        <v>464.0</v>
      </c>
      <c r="AT50" s="31"/>
      <c r="AU50" s="31"/>
      <c r="AV50" s="31"/>
    </row>
    <row r="51">
      <c r="A51" s="23">
        <f t="shared" si="5"/>
        <v>48</v>
      </c>
      <c r="B51" s="24" t="s">
        <v>124</v>
      </c>
      <c r="C51" s="24" t="s">
        <v>125</v>
      </c>
      <c r="D51" s="24" t="s">
        <v>105</v>
      </c>
      <c r="E51" s="25">
        <v>24.0</v>
      </c>
      <c r="F51" s="25">
        <v>0.0</v>
      </c>
      <c r="G51" s="25">
        <f t="shared" si="1"/>
        <v>24</v>
      </c>
      <c r="H51" s="26"/>
      <c r="I51" s="26"/>
      <c r="J51" s="26"/>
      <c r="K51" s="26"/>
      <c r="L51" s="26"/>
      <c r="M51" s="26"/>
      <c r="N51" s="27">
        <v>24.0</v>
      </c>
      <c r="O51" s="26"/>
      <c r="P51" s="26"/>
      <c r="Q51" s="26"/>
      <c r="R51" s="26"/>
      <c r="S51" s="26"/>
      <c r="T51" s="26"/>
      <c r="U51" s="26"/>
      <c r="V51" s="26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>
        <f t="shared" si="2"/>
        <v>24</v>
      </c>
      <c r="AL51" s="28">
        <v>0.0</v>
      </c>
      <c r="AM51" s="25" t="s">
        <v>67</v>
      </c>
      <c r="AN51" s="29">
        <v>4742296.0</v>
      </c>
      <c r="AO51" s="29">
        <f t="shared" si="3"/>
        <v>113815104</v>
      </c>
      <c r="AP51" s="30" t="str">
        <f t="shared" si="4"/>
        <v>60-90 hari</v>
      </c>
      <c r="AQ51" s="31"/>
      <c r="AR51" s="31"/>
      <c r="AS51" s="25">
        <v>24.0</v>
      </c>
      <c r="AT51" s="31"/>
      <c r="AU51" s="31"/>
      <c r="AV51" s="31"/>
    </row>
    <row r="52">
      <c r="A52" s="23">
        <f t="shared" si="5"/>
        <v>49</v>
      </c>
      <c r="B52" s="24" t="s">
        <v>124</v>
      </c>
      <c r="C52" s="24" t="s">
        <v>125</v>
      </c>
      <c r="D52" s="24" t="s">
        <v>126</v>
      </c>
      <c r="E52" s="25">
        <v>24.0</v>
      </c>
      <c r="F52" s="25">
        <v>0.0</v>
      </c>
      <c r="G52" s="25">
        <f t="shared" si="1"/>
        <v>24</v>
      </c>
      <c r="H52" s="26"/>
      <c r="I52" s="26"/>
      <c r="J52" s="26"/>
      <c r="K52" s="26"/>
      <c r="L52" s="26"/>
      <c r="M52" s="26"/>
      <c r="N52" s="27">
        <v>24.0</v>
      </c>
      <c r="O52" s="26"/>
      <c r="P52" s="26"/>
      <c r="Q52" s="26"/>
      <c r="R52" s="26"/>
      <c r="S52" s="26"/>
      <c r="T52" s="26"/>
      <c r="U52" s="26"/>
      <c r="V52" s="26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>
        <f t="shared" si="2"/>
        <v>24</v>
      </c>
      <c r="AL52" s="28">
        <v>0.0</v>
      </c>
      <c r="AM52" s="25" t="s">
        <v>67</v>
      </c>
      <c r="AN52" s="29">
        <v>3627487.0</v>
      </c>
      <c r="AO52" s="29">
        <f t="shared" si="3"/>
        <v>87059688</v>
      </c>
      <c r="AP52" s="30" t="str">
        <f t="shared" si="4"/>
        <v>60-90 hari</v>
      </c>
      <c r="AQ52" s="31"/>
      <c r="AR52" s="31"/>
      <c r="AS52" s="25">
        <v>24.0</v>
      </c>
      <c r="AT52" s="31"/>
      <c r="AU52" s="31"/>
      <c r="AV52" s="31"/>
    </row>
    <row r="53">
      <c r="A53" s="23">
        <f t="shared" si="5"/>
        <v>50</v>
      </c>
      <c r="B53" s="24" t="s">
        <v>124</v>
      </c>
      <c r="C53" s="24" t="s">
        <v>125</v>
      </c>
      <c r="D53" s="24" t="s">
        <v>127</v>
      </c>
      <c r="E53" s="25">
        <v>14.0</v>
      </c>
      <c r="F53" s="25">
        <v>0.0</v>
      </c>
      <c r="G53" s="25">
        <f t="shared" si="1"/>
        <v>14</v>
      </c>
      <c r="H53" s="26"/>
      <c r="I53" s="26"/>
      <c r="J53" s="26"/>
      <c r="K53" s="26"/>
      <c r="L53" s="26"/>
      <c r="M53" s="26"/>
      <c r="N53" s="27">
        <v>14.0</v>
      </c>
      <c r="O53" s="26"/>
      <c r="P53" s="26"/>
      <c r="Q53" s="26"/>
      <c r="R53" s="26"/>
      <c r="S53" s="26"/>
      <c r="T53" s="26"/>
      <c r="U53" s="26"/>
      <c r="V53" s="26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>
        <f t="shared" si="2"/>
        <v>14</v>
      </c>
      <c r="AL53" s="28">
        <v>0.0</v>
      </c>
      <c r="AM53" s="25" t="s">
        <v>67</v>
      </c>
      <c r="AN53" s="29">
        <v>4329363.0</v>
      </c>
      <c r="AO53" s="29">
        <f t="shared" si="3"/>
        <v>60611082</v>
      </c>
      <c r="AP53" s="30" t="str">
        <f t="shared" si="4"/>
        <v>60-90 hari</v>
      </c>
      <c r="AQ53" s="31"/>
      <c r="AR53" s="31"/>
      <c r="AS53" s="25">
        <v>14.0</v>
      </c>
      <c r="AT53" s="31"/>
      <c r="AU53" s="31"/>
      <c r="AV53" s="31"/>
    </row>
    <row r="54">
      <c r="A54" s="23">
        <f t="shared" si="5"/>
        <v>51</v>
      </c>
      <c r="B54" s="24" t="s">
        <v>124</v>
      </c>
      <c r="C54" s="24" t="s">
        <v>125</v>
      </c>
      <c r="D54" s="24" t="s">
        <v>128</v>
      </c>
      <c r="E54" s="25">
        <v>26.0</v>
      </c>
      <c r="F54" s="25">
        <v>0.0</v>
      </c>
      <c r="G54" s="25">
        <f t="shared" si="1"/>
        <v>26</v>
      </c>
      <c r="H54" s="26"/>
      <c r="I54" s="26"/>
      <c r="J54" s="26"/>
      <c r="K54" s="26"/>
      <c r="L54" s="26"/>
      <c r="M54" s="26"/>
      <c r="N54" s="27">
        <v>26.0</v>
      </c>
      <c r="O54" s="26"/>
      <c r="P54" s="26"/>
      <c r="Q54" s="26"/>
      <c r="R54" s="26"/>
      <c r="S54" s="26"/>
      <c r="T54" s="26"/>
      <c r="U54" s="26"/>
      <c r="V54" s="26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>
        <f t="shared" si="2"/>
        <v>26</v>
      </c>
      <c r="AL54" s="28">
        <v>0.0</v>
      </c>
      <c r="AM54" s="25" t="s">
        <v>67</v>
      </c>
      <c r="AN54" s="29">
        <v>7297787.0</v>
      </c>
      <c r="AO54" s="29">
        <f t="shared" si="3"/>
        <v>189742462</v>
      </c>
      <c r="AP54" s="30" t="str">
        <f t="shared" si="4"/>
        <v>60-90 hari</v>
      </c>
      <c r="AQ54" s="31"/>
      <c r="AR54" s="31"/>
      <c r="AS54" s="25">
        <v>26.0</v>
      </c>
      <c r="AT54" s="31"/>
      <c r="AU54" s="31"/>
      <c r="AV54" s="31"/>
    </row>
    <row r="55">
      <c r="A55" s="23">
        <f t="shared" si="5"/>
        <v>52</v>
      </c>
      <c r="B55" s="24" t="s">
        <v>124</v>
      </c>
      <c r="C55" s="24" t="s">
        <v>125</v>
      </c>
      <c r="D55" s="24" t="s">
        <v>129</v>
      </c>
      <c r="E55" s="25">
        <v>10.0</v>
      </c>
      <c r="F55" s="25">
        <v>0.0</v>
      </c>
      <c r="G55" s="25">
        <f t="shared" si="1"/>
        <v>10</v>
      </c>
      <c r="H55" s="26"/>
      <c r="I55" s="26"/>
      <c r="J55" s="26"/>
      <c r="K55" s="26"/>
      <c r="L55" s="26"/>
      <c r="M55" s="26"/>
      <c r="N55" s="27">
        <v>10.0</v>
      </c>
      <c r="O55" s="26"/>
      <c r="P55" s="26"/>
      <c r="Q55" s="26"/>
      <c r="R55" s="26"/>
      <c r="S55" s="26"/>
      <c r="T55" s="26"/>
      <c r="U55" s="26"/>
      <c r="V55" s="26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>
        <f t="shared" si="2"/>
        <v>10</v>
      </c>
      <c r="AL55" s="28">
        <v>0.0</v>
      </c>
      <c r="AM55" s="25" t="s">
        <v>67</v>
      </c>
      <c r="AN55" s="29">
        <v>6729524.0</v>
      </c>
      <c r="AO55" s="29">
        <f t="shared" si="3"/>
        <v>67295240</v>
      </c>
      <c r="AP55" s="30" t="str">
        <f t="shared" si="4"/>
        <v>60-90 hari</v>
      </c>
      <c r="AQ55" s="31"/>
      <c r="AR55" s="31"/>
      <c r="AS55" s="25">
        <v>10.0</v>
      </c>
      <c r="AT55" s="31"/>
      <c r="AU55" s="31"/>
      <c r="AV55" s="31"/>
    </row>
    <row r="56">
      <c r="A56" s="23">
        <f t="shared" si="5"/>
        <v>53</v>
      </c>
      <c r="B56" s="24" t="s">
        <v>130</v>
      </c>
      <c r="C56" s="24" t="s">
        <v>131</v>
      </c>
      <c r="D56" s="24" t="s">
        <v>132</v>
      </c>
      <c r="E56" s="25">
        <v>0.0</v>
      </c>
      <c r="F56" s="25">
        <v>0.0</v>
      </c>
      <c r="G56" s="25">
        <f t="shared" si="1"/>
        <v>0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>
        <f t="shared" si="2"/>
        <v>0</v>
      </c>
      <c r="AL56" s="28">
        <v>0.0</v>
      </c>
      <c r="AM56" s="25" t="s">
        <v>67</v>
      </c>
      <c r="AN56" s="29">
        <v>1061428.0</v>
      </c>
      <c r="AO56" s="29">
        <f t="shared" si="3"/>
        <v>0</v>
      </c>
      <c r="AP56" s="32" t="str">
        <f t="shared" si="4"/>
        <v/>
      </c>
      <c r="AQ56" s="31"/>
      <c r="AR56" s="31"/>
      <c r="AS56" s="31"/>
      <c r="AT56" s="31"/>
      <c r="AU56" s="31"/>
      <c r="AV56" s="31"/>
    </row>
    <row r="57">
      <c r="A57" s="23">
        <f t="shared" si="5"/>
        <v>54</v>
      </c>
      <c r="B57" s="24" t="s">
        <v>133</v>
      </c>
      <c r="C57" s="24" t="s">
        <v>134</v>
      </c>
      <c r="D57" s="24" t="s">
        <v>135</v>
      </c>
      <c r="E57" s="25">
        <v>0.0</v>
      </c>
      <c r="F57" s="25">
        <v>0.0</v>
      </c>
      <c r="G57" s="25">
        <f t="shared" si="1"/>
        <v>0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>
        <f t="shared" si="2"/>
        <v>0</v>
      </c>
      <c r="AL57" s="28">
        <v>0.0</v>
      </c>
      <c r="AM57" s="25" t="s">
        <v>67</v>
      </c>
      <c r="AN57" s="29">
        <v>3464156.0</v>
      </c>
      <c r="AO57" s="29">
        <f t="shared" si="3"/>
        <v>0</v>
      </c>
      <c r="AP57" s="32" t="str">
        <f t="shared" si="4"/>
        <v/>
      </c>
      <c r="AQ57" s="31"/>
      <c r="AR57" s="31"/>
      <c r="AS57" s="31"/>
      <c r="AT57" s="31"/>
      <c r="AU57" s="31"/>
      <c r="AV57" s="31"/>
    </row>
    <row r="58">
      <c r="A58" s="23">
        <f t="shared" si="5"/>
        <v>55</v>
      </c>
      <c r="B58" s="24" t="s">
        <v>106</v>
      </c>
      <c r="C58" s="24" t="s">
        <v>107</v>
      </c>
      <c r="D58" s="24" t="s">
        <v>136</v>
      </c>
      <c r="E58" s="25">
        <v>155.0</v>
      </c>
      <c r="F58" s="25">
        <v>0.0</v>
      </c>
      <c r="G58" s="25">
        <f t="shared" si="1"/>
        <v>155</v>
      </c>
      <c r="H58" s="26"/>
      <c r="I58" s="27">
        <v>155.0</v>
      </c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>
        <f t="shared" si="2"/>
        <v>155</v>
      </c>
      <c r="AL58" s="28">
        <v>0.0</v>
      </c>
      <c r="AM58" s="25" t="s">
        <v>63</v>
      </c>
      <c r="AN58" s="29">
        <v>2089962.0</v>
      </c>
      <c r="AO58" s="29">
        <f t="shared" si="3"/>
        <v>323944110</v>
      </c>
      <c r="AP58" s="30" t="str">
        <f t="shared" si="4"/>
        <v>30-60 hari</v>
      </c>
      <c r="AQ58" s="31"/>
      <c r="AR58" s="25">
        <v>155.0</v>
      </c>
      <c r="AS58" s="31"/>
      <c r="AT58" s="31"/>
      <c r="AU58" s="31"/>
      <c r="AV58" s="31"/>
    </row>
    <row r="59">
      <c r="A59" s="23">
        <f t="shared" si="5"/>
        <v>56</v>
      </c>
      <c r="B59" s="24" t="s">
        <v>106</v>
      </c>
      <c r="C59" s="24" t="s">
        <v>107</v>
      </c>
      <c r="D59" s="24" t="s">
        <v>137</v>
      </c>
      <c r="E59" s="25">
        <v>155.0</v>
      </c>
      <c r="F59" s="25">
        <v>0.0</v>
      </c>
      <c r="G59" s="25">
        <f t="shared" si="1"/>
        <v>155</v>
      </c>
      <c r="H59" s="26"/>
      <c r="I59" s="27">
        <v>155.0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>
        <f t="shared" si="2"/>
        <v>155</v>
      </c>
      <c r="AL59" s="28">
        <v>0.0</v>
      </c>
      <c r="AM59" s="25" t="s">
        <v>63</v>
      </c>
      <c r="AN59" s="29">
        <v>2105774.0</v>
      </c>
      <c r="AO59" s="29">
        <f t="shared" si="3"/>
        <v>326394970</v>
      </c>
      <c r="AP59" s="30" t="str">
        <f t="shared" si="4"/>
        <v>30-60 hari</v>
      </c>
      <c r="AQ59" s="31"/>
      <c r="AR59" s="25">
        <v>155.0</v>
      </c>
      <c r="AS59" s="31"/>
      <c r="AT59" s="31"/>
      <c r="AU59" s="31"/>
      <c r="AV59" s="31"/>
    </row>
    <row r="60">
      <c r="A60" s="23">
        <f t="shared" si="5"/>
        <v>57</v>
      </c>
      <c r="B60" s="24" t="s">
        <v>138</v>
      </c>
      <c r="C60" s="24" t="s">
        <v>139</v>
      </c>
      <c r="D60" s="24" t="s">
        <v>140</v>
      </c>
      <c r="E60" s="25">
        <v>114.0</v>
      </c>
      <c r="F60" s="25">
        <v>0.0</v>
      </c>
      <c r="G60" s="25">
        <f t="shared" si="1"/>
        <v>114</v>
      </c>
      <c r="H60" s="26"/>
      <c r="I60" s="26"/>
      <c r="J60" s="27">
        <v>114.0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>
        <f t="shared" si="2"/>
        <v>114</v>
      </c>
      <c r="AL60" s="28">
        <v>0.0</v>
      </c>
      <c r="AM60" s="25" t="s">
        <v>67</v>
      </c>
      <c r="AN60" s="29">
        <v>5488997.0</v>
      </c>
      <c r="AO60" s="29">
        <f t="shared" si="3"/>
        <v>625745658</v>
      </c>
      <c r="AP60" s="30" t="str">
        <f t="shared" si="4"/>
        <v>30-60 hari</v>
      </c>
      <c r="AQ60" s="31"/>
      <c r="AR60" s="25">
        <v>114.0</v>
      </c>
      <c r="AS60" s="31"/>
      <c r="AT60" s="31"/>
      <c r="AU60" s="31"/>
      <c r="AV60" s="31"/>
    </row>
    <row r="61">
      <c r="A61" s="23">
        <f t="shared" si="5"/>
        <v>58</v>
      </c>
      <c r="B61" s="24" t="s">
        <v>138</v>
      </c>
      <c r="C61" s="24" t="s">
        <v>139</v>
      </c>
      <c r="D61" s="24" t="s">
        <v>141</v>
      </c>
      <c r="E61" s="25">
        <v>125.0</v>
      </c>
      <c r="F61" s="25">
        <v>0.0</v>
      </c>
      <c r="G61" s="25">
        <f t="shared" si="1"/>
        <v>125</v>
      </c>
      <c r="H61" s="26"/>
      <c r="I61" s="26"/>
      <c r="J61" s="27">
        <v>125.0</v>
      </c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>
        <f t="shared" si="2"/>
        <v>125</v>
      </c>
      <c r="AL61" s="28">
        <v>0.0</v>
      </c>
      <c r="AM61" s="25" t="s">
        <v>67</v>
      </c>
      <c r="AN61" s="29">
        <v>6915876.0</v>
      </c>
      <c r="AO61" s="29">
        <f t="shared" si="3"/>
        <v>864484500</v>
      </c>
      <c r="AP61" s="30" t="str">
        <f t="shared" si="4"/>
        <v>30-60 hari</v>
      </c>
      <c r="AQ61" s="31"/>
      <c r="AR61" s="25">
        <v>125.0</v>
      </c>
      <c r="AS61" s="31"/>
      <c r="AT61" s="31"/>
      <c r="AU61" s="31"/>
      <c r="AV61" s="31"/>
    </row>
    <row r="62">
      <c r="A62" s="23">
        <f t="shared" si="5"/>
        <v>59</v>
      </c>
      <c r="B62" s="24" t="s">
        <v>138</v>
      </c>
      <c r="C62" s="24" t="s">
        <v>139</v>
      </c>
      <c r="D62" s="24" t="s">
        <v>142</v>
      </c>
      <c r="E62" s="25">
        <v>113.0</v>
      </c>
      <c r="F62" s="25">
        <v>0.0</v>
      </c>
      <c r="G62" s="25">
        <f t="shared" si="1"/>
        <v>113</v>
      </c>
      <c r="H62" s="26"/>
      <c r="I62" s="26"/>
      <c r="J62" s="26"/>
      <c r="K62" s="27">
        <v>90.0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7">
        <v>23.0</v>
      </c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>
        <f t="shared" si="2"/>
        <v>113</v>
      </c>
      <c r="AL62" s="28">
        <v>0.0</v>
      </c>
      <c r="AM62" s="25" t="s">
        <v>67</v>
      </c>
      <c r="AN62" s="29">
        <v>9709728.0</v>
      </c>
      <c r="AO62" s="29">
        <f t="shared" si="3"/>
        <v>1097199264</v>
      </c>
      <c r="AP62" s="30" t="str">
        <f t="shared" si="4"/>
        <v>30-60 hari</v>
      </c>
      <c r="AQ62" s="31"/>
      <c r="AR62" s="25">
        <v>113.0</v>
      </c>
      <c r="AS62" s="31"/>
      <c r="AT62" s="31"/>
      <c r="AU62" s="31"/>
      <c r="AV62" s="31"/>
    </row>
    <row r="63">
      <c r="A63" s="23">
        <f t="shared" si="5"/>
        <v>60</v>
      </c>
      <c r="B63" s="24" t="s">
        <v>143</v>
      </c>
      <c r="C63" s="24" t="s">
        <v>144</v>
      </c>
      <c r="D63" s="24" t="s">
        <v>145</v>
      </c>
      <c r="E63" s="25">
        <v>1.0</v>
      </c>
      <c r="F63" s="25">
        <v>0.0</v>
      </c>
      <c r="G63" s="25">
        <f t="shared" si="1"/>
        <v>1</v>
      </c>
      <c r="H63" s="26"/>
      <c r="I63" s="26"/>
      <c r="J63" s="26"/>
      <c r="K63" s="27">
        <v>1.0</v>
      </c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>
        <f t="shared" si="2"/>
        <v>1</v>
      </c>
      <c r="AL63" s="28">
        <v>0.0</v>
      </c>
      <c r="AM63" s="25" t="s">
        <v>67</v>
      </c>
      <c r="AN63" s="29">
        <v>1.6150995E8</v>
      </c>
      <c r="AO63" s="29">
        <f t="shared" si="3"/>
        <v>161509950</v>
      </c>
      <c r="AP63" s="30" t="str">
        <f t="shared" si="4"/>
        <v>30-60 hari</v>
      </c>
      <c r="AQ63" s="26"/>
      <c r="AR63" s="25">
        <v>1.0</v>
      </c>
      <c r="AS63" s="31"/>
      <c r="AT63" s="31"/>
      <c r="AU63" s="31"/>
      <c r="AV63" s="31"/>
    </row>
    <row r="64">
      <c r="A64" s="23">
        <f t="shared" si="5"/>
        <v>61</v>
      </c>
      <c r="B64" s="24" t="s">
        <v>143</v>
      </c>
      <c r="C64" s="24" t="s">
        <v>144</v>
      </c>
      <c r="D64" s="24" t="s">
        <v>146</v>
      </c>
      <c r="E64" s="25">
        <v>0.0</v>
      </c>
      <c r="F64" s="25">
        <v>0.0</v>
      </c>
      <c r="G64" s="25">
        <f t="shared" si="1"/>
        <v>0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>
        <f t="shared" si="2"/>
        <v>0</v>
      </c>
      <c r="AL64" s="28">
        <v>0.0</v>
      </c>
      <c r="AM64" s="25" t="s">
        <v>67</v>
      </c>
      <c r="AN64" s="29">
        <v>0.0</v>
      </c>
      <c r="AO64" s="29">
        <f t="shared" si="3"/>
        <v>0</v>
      </c>
      <c r="AP64" s="32" t="str">
        <f t="shared" si="4"/>
        <v/>
      </c>
      <c r="AQ64" s="26"/>
      <c r="AR64" s="26"/>
      <c r="AS64" s="31"/>
      <c r="AT64" s="31"/>
      <c r="AU64" s="31"/>
      <c r="AV64" s="31"/>
    </row>
    <row r="65">
      <c r="A65" s="23">
        <f t="shared" si="5"/>
        <v>62</v>
      </c>
      <c r="B65" s="24" t="s">
        <v>143</v>
      </c>
      <c r="C65" s="24" t="s">
        <v>144</v>
      </c>
      <c r="D65" s="24" t="s">
        <v>147</v>
      </c>
      <c r="E65" s="25">
        <v>0.0</v>
      </c>
      <c r="F65" s="25">
        <v>0.0</v>
      </c>
      <c r="G65" s="25">
        <f t="shared" si="1"/>
        <v>0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>
        <f t="shared" si="2"/>
        <v>0</v>
      </c>
      <c r="AL65" s="28">
        <v>0.0</v>
      </c>
      <c r="AM65" s="25" t="s">
        <v>67</v>
      </c>
      <c r="AN65" s="29">
        <v>0.0</v>
      </c>
      <c r="AO65" s="29">
        <f t="shared" si="3"/>
        <v>0</v>
      </c>
      <c r="AP65" s="32" t="str">
        <f t="shared" si="4"/>
        <v/>
      </c>
      <c r="AQ65" s="26"/>
      <c r="AR65" s="26"/>
      <c r="AS65" s="31"/>
      <c r="AT65" s="31"/>
      <c r="AU65" s="31"/>
      <c r="AV65" s="31"/>
    </row>
    <row r="66">
      <c r="A66" s="23">
        <f t="shared" si="5"/>
        <v>63</v>
      </c>
      <c r="B66" s="24" t="s">
        <v>143</v>
      </c>
      <c r="C66" s="24" t="s">
        <v>144</v>
      </c>
      <c r="D66" s="24" t="s">
        <v>148</v>
      </c>
      <c r="E66" s="25">
        <v>144.0</v>
      </c>
      <c r="F66" s="25">
        <v>0.0</v>
      </c>
      <c r="G66" s="25">
        <f t="shared" si="1"/>
        <v>144</v>
      </c>
      <c r="H66" s="26"/>
      <c r="I66" s="26"/>
      <c r="J66" s="26"/>
      <c r="K66" s="27">
        <v>144.0</v>
      </c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>
        <f t="shared" si="2"/>
        <v>144</v>
      </c>
      <c r="AL66" s="28">
        <v>0.0</v>
      </c>
      <c r="AM66" s="25" t="s">
        <v>67</v>
      </c>
      <c r="AN66" s="29">
        <v>164536.0</v>
      </c>
      <c r="AO66" s="29">
        <f t="shared" si="3"/>
        <v>23693184</v>
      </c>
      <c r="AP66" s="30" t="str">
        <f t="shared" si="4"/>
        <v>30-60 hari</v>
      </c>
      <c r="AQ66" s="26"/>
      <c r="AR66" s="25">
        <v>144.0</v>
      </c>
      <c r="AS66" s="31"/>
      <c r="AT66" s="31"/>
      <c r="AU66" s="31"/>
      <c r="AV66" s="31"/>
    </row>
    <row r="67">
      <c r="A67" s="23">
        <f t="shared" si="5"/>
        <v>64</v>
      </c>
      <c r="B67" s="24" t="s">
        <v>92</v>
      </c>
      <c r="C67" s="24" t="s">
        <v>149</v>
      </c>
      <c r="D67" s="24" t="s">
        <v>150</v>
      </c>
      <c r="E67" s="25">
        <v>35.0</v>
      </c>
      <c r="F67" s="25">
        <v>0.0</v>
      </c>
      <c r="G67" s="25">
        <f t="shared" si="1"/>
        <v>35</v>
      </c>
      <c r="H67" s="26"/>
      <c r="I67" s="26"/>
      <c r="J67" s="27">
        <v>35.0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>
        <f t="shared" si="2"/>
        <v>35</v>
      </c>
      <c r="AL67" s="28">
        <v>0.0</v>
      </c>
      <c r="AM67" s="25" t="s">
        <v>63</v>
      </c>
      <c r="AN67" s="29">
        <v>7938562.0</v>
      </c>
      <c r="AO67" s="29">
        <f t="shared" si="3"/>
        <v>277849670</v>
      </c>
      <c r="AP67" s="30" t="str">
        <f t="shared" si="4"/>
        <v>&gt;1 tahun</v>
      </c>
      <c r="AQ67" s="31"/>
      <c r="AR67" s="31"/>
      <c r="AS67" s="31"/>
      <c r="AT67" s="31"/>
      <c r="AU67" s="31"/>
      <c r="AV67" s="25">
        <v>35.0</v>
      </c>
    </row>
    <row r="68">
      <c r="A68" s="23">
        <f t="shared" si="5"/>
        <v>65</v>
      </c>
      <c r="B68" s="24" t="s">
        <v>151</v>
      </c>
      <c r="C68" s="24" t="s">
        <v>152</v>
      </c>
      <c r="D68" s="24" t="s">
        <v>153</v>
      </c>
      <c r="E68" s="25">
        <v>1.602</v>
      </c>
      <c r="F68" s="25">
        <v>0.0</v>
      </c>
      <c r="G68" s="25">
        <f t="shared" si="1"/>
        <v>1.602</v>
      </c>
      <c r="H68" s="26"/>
      <c r="I68" s="26"/>
      <c r="J68" s="26"/>
      <c r="K68" s="26"/>
      <c r="L68" s="26"/>
      <c r="M68" s="26"/>
      <c r="N68" s="27">
        <v>1602.0</v>
      </c>
      <c r="O68" s="26"/>
      <c r="P68" s="26"/>
      <c r="Q68" s="26"/>
      <c r="R68" s="26"/>
      <c r="S68" s="26"/>
      <c r="T68" s="26"/>
      <c r="U68" s="26"/>
      <c r="V68" s="26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>
        <f t="shared" si="2"/>
        <v>1602</v>
      </c>
      <c r="AL68" s="28">
        <v>0.0</v>
      </c>
      <c r="AM68" s="25" t="s">
        <v>67</v>
      </c>
      <c r="AN68" s="29">
        <v>1190837.0</v>
      </c>
      <c r="AO68" s="29">
        <f t="shared" si="3"/>
        <v>1907720874</v>
      </c>
      <c r="AP68" s="30" t="str">
        <f t="shared" si="4"/>
        <v>&gt;1 tahun</v>
      </c>
      <c r="AQ68" s="31"/>
      <c r="AR68" s="31"/>
      <c r="AS68" s="31"/>
      <c r="AT68" s="31"/>
      <c r="AU68" s="31"/>
      <c r="AV68" s="25">
        <v>1.602</v>
      </c>
    </row>
    <row r="69">
      <c r="A69" s="23">
        <f t="shared" si="5"/>
        <v>66</v>
      </c>
      <c r="B69" s="24" t="s">
        <v>151</v>
      </c>
      <c r="C69" s="24" t="s">
        <v>152</v>
      </c>
      <c r="D69" s="24" t="s">
        <v>154</v>
      </c>
      <c r="E69" s="25">
        <v>34.0</v>
      </c>
      <c r="F69" s="25">
        <v>0.0</v>
      </c>
      <c r="G69" s="25">
        <f t="shared" si="1"/>
        <v>34</v>
      </c>
      <c r="H69" s="26"/>
      <c r="I69" s="26"/>
      <c r="J69" s="26"/>
      <c r="K69" s="26"/>
      <c r="L69" s="26"/>
      <c r="M69" s="26"/>
      <c r="N69" s="27">
        <v>34.0</v>
      </c>
      <c r="O69" s="26"/>
      <c r="P69" s="26"/>
      <c r="Q69" s="26"/>
      <c r="R69" s="26"/>
      <c r="S69" s="26"/>
      <c r="T69" s="26"/>
      <c r="U69" s="26"/>
      <c r="V69" s="26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>
        <f t="shared" si="2"/>
        <v>34</v>
      </c>
      <c r="AL69" s="28">
        <v>0.0</v>
      </c>
      <c r="AM69" s="25" t="s">
        <v>67</v>
      </c>
      <c r="AN69" s="29">
        <v>1288663.0</v>
      </c>
      <c r="AO69" s="29">
        <f t="shared" si="3"/>
        <v>43814542</v>
      </c>
      <c r="AP69" s="30" t="str">
        <f t="shared" si="4"/>
        <v>&gt;1 tahun</v>
      </c>
      <c r="AQ69" s="31"/>
      <c r="AR69" s="31"/>
      <c r="AS69" s="31"/>
      <c r="AT69" s="31"/>
      <c r="AU69" s="31"/>
      <c r="AV69" s="25">
        <v>34.0</v>
      </c>
    </row>
    <row r="70">
      <c r="A70" s="23">
        <f t="shared" si="5"/>
        <v>67</v>
      </c>
      <c r="B70" s="33" t="s">
        <v>155</v>
      </c>
      <c r="C70" s="33" t="s">
        <v>156</v>
      </c>
      <c r="D70" s="33" t="s">
        <v>157</v>
      </c>
      <c r="E70" s="34">
        <v>2.0</v>
      </c>
      <c r="F70" s="34">
        <v>2.0</v>
      </c>
      <c r="G70" s="34">
        <f t="shared" si="1"/>
        <v>4</v>
      </c>
      <c r="H70" s="35"/>
      <c r="I70" s="35"/>
      <c r="J70" s="35"/>
      <c r="K70" s="35"/>
      <c r="L70" s="35"/>
      <c r="M70" s="36">
        <v>2.0</v>
      </c>
      <c r="N70" s="35"/>
      <c r="O70" s="35"/>
      <c r="P70" s="35"/>
      <c r="Q70" s="35"/>
      <c r="R70" s="35"/>
      <c r="S70" s="35"/>
      <c r="T70" s="35"/>
      <c r="U70" s="35"/>
      <c r="V70" s="35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>
        <f t="shared" si="2"/>
        <v>2</v>
      </c>
      <c r="AL70" s="28">
        <v>0.0</v>
      </c>
      <c r="AM70" s="34" t="s">
        <v>46</v>
      </c>
      <c r="AN70" s="37">
        <v>6851441.0</v>
      </c>
      <c r="AO70" s="29">
        <f t="shared" si="3"/>
        <v>13702882</v>
      </c>
      <c r="AP70" s="30" t="str">
        <f t="shared" si="4"/>
        <v>&gt;1 tahun</v>
      </c>
      <c r="AQ70" s="31"/>
      <c r="AR70" s="31"/>
      <c r="AS70" s="31"/>
      <c r="AT70" s="31"/>
      <c r="AU70" s="31"/>
      <c r="AV70" s="25">
        <v>2.0</v>
      </c>
    </row>
    <row r="71">
      <c r="A71" s="23">
        <f t="shared" si="5"/>
        <v>68</v>
      </c>
      <c r="B71" s="33" t="s">
        <v>155</v>
      </c>
      <c r="C71" s="33" t="s">
        <v>156</v>
      </c>
      <c r="D71" s="33" t="s">
        <v>158</v>
      </c>
      <c r="E71" s="34">
        <v>4.0</v>
      </c>
      <c r="F71" s="34">
        <v>4.0</v>
      </c>
      <c r="G71" s="34">
        <f t="shared" si="1"/>
        <v>8</v>
      </c>
      <c r="H71" s="35"/>
      <c r="I71" s="35"/>
      <c r="J71" s="35"/>
      <c r="K71" s="35"/>
      <c r="L71" s="35"/>
      <c r="M71" s="36">
        <v>4.0</v>
      </c>
      <c r="N71" s="35"/>
      <c r="O71" s="35"/>
      <c r="P71" s="35"/>
      <c r="Q71" s="35"/>
      <c r="R71" s="35"/>
      <c r="S71" s="35"/>
      <c r="T71" s="35"/>
      <c r="U71" s="35"/>
      <c r="V71" s="35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>
        <f t="shared" si="2"/>
        <v>4</v>
      </c>
      <c r="AL71" s="28">
        <v>0.0</v>
      </c>
      <c r="AM71" s="34" t="s">
        <v>46</v>
      </c>
      <c r="AN71" s="37">
        <v>6133099.0</v>
      </c>
      <c r="AO71" s="29">
        <f t="shared" si="3"/>
        <v>24532396</v>
      </c>
      <c r="AP71" s="30" t="str">
        <f t="shared" si="4"/>
        <v>&gt;1 tahun</v>
      </c>
      <c r="AQ71" s="31"/>
      <c r="AR71" s="31"/>
      <c r="AS71" s="31"/>
      <c r="AT71" s="31"/>
      <c r="AU71" s="31"/>
      <c r="AV71" s="25">
        <v>4.0</v>
      </c>
    </row>
    <row r="72">
      <c r="A72" s="23">
        <f t="shared" si="5"/>
        <v>69</v>
      </c>
      <c r="B72" s="33" t="s">
        <v>155</v>
      </c>
      <c r="C72" s="33" t="s">
        <v>156</v>
      </c>
      <c r="D72" s="33" t="s">
        <v>159</v>
      </c>
      <c r="E72" s="34">
        <v>2.0</v>
      </c>
      <c r="F72" s="34">
        <v>2.0</v>
      </c>
      <c r="G72" s="34">
        <f t="shared" si="1"/>
        <v>4</v>
      </c>
      <c r="H72" s="35"/>
      <c r="I72" s="35"/>
      <c r="J72" s="35"/>
      <c r="K72" s="35"/>
      <c r="L72" s="35"/>
      <c r="M72" s="36">
        <v>2.0</v>
      </c>
      <c r="N72" s="35"/>
      <c r="O72" s="35"/>
      <c r="P72" s="35"/>
      <c r="Q72" s="35"/>
      <c r="R72" s="35"/>
      <c r="S72" s="35"/>
      <c r="T72" s="35"/>
      <c r="U72" s="35"/>
      <c r="V72" s="35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>
        <f t="shared" si="2"/>
        <v>2</v>
      </c>
      <c r="AL72" s="28">
        <v>0.0</v>
      </c>
      <c r="AM72" s="34" t="s">
        <v>46</v>
      </c>
      <c r="AN72" s="37">
        <v>6432025.0</v>
      </c>
      <c r="AO72" s="29">
        <f t="shared" si="3"/>
        <v>12864050</v>
      </c>
      <c r="AP72" s="30" t="str">
        <f t="shared" si="4"/>
        <v>&gt;1 tahun</v>
      </c>
      <c r="AQ72" s="31"/>
      <c r="AR72" s="31"/>
      <c r="AS72" s="31"/>
      <c r="AT72" s="31"/>
      <c r="AU72" s="31"/>
      <c r="AV72" s="25">
        <v>2.0</v>
      </c>
    </row>
    <row r="73">
      <c r="A73" s="23">
        <f t="shared" si="5"/>
        <v>70</v>
      </c>
      <c r="B73" s="33" t="s">
        <v>160</v>
      </c>
      <c r="C73" s="33" t="s">
        <v>161</v>
      </c>
      <c r="D73" s="33" t="s">
        <v>162</v>
      </c>
      <c r="E73" s="34">
        <v>50.0</v>
      </c>
      <c r="F73" s="34">
        <v>50.0</v>
      </c>
      <c r="G73" s="34">
        <f t="shared" si="1"/>
        <v>100</v>
      </c>
      <c r="H73" s="35"/>
      <c r="I73" s="36">
        <v>50.0</v>
      </c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>
        <f t="shared" si="2"/>
        <v>50</v>
      </c>
      <c r="AL73" s="28">
        <v>0.0</v>
      </c>
      <c r="AM73" s="34" t="s">
        <v>46</v>
      </c>
      <c r="AN73" s="37">
        <v>1.12468E7</v>
      </c>
      <c r="AO73" s="29">
        <f t="shared" si="3"/>
        <v>562340000</v>
      </c>
      <c r="AP73" s="30" t="str">
        <f t="shared" si="4"/>
        <v>&gt;1 tahun</v>
      </c>
      <c r="AQ73" s="31"/>
      <c r="AR73" s="31"/>
      <c r="AS73" s="31"/>
      <c r="AT73" s="31"/>
      <c r="AU73" s="31"/>
      <c r="AV73" s="25">
        <v>50.0</v>
      </c>
    </row>
    <row r="74">
      <c r="A74" s="23">
        <f t="shared" si="5"/>
        <v>71</v>
      </c>
      <c r="B74" s="33" t="s">
        <v>160</v>
      </c>
      <c r="C74" s="33" t="s">
        <v>161</v>
      </c>
      <c r="D74" s="33" t="s">
        <v>163</v>
      </c>
      <c r="E74" s="34">
        <v>265.0</v>
      </c>
      <c r="F74" s="34">
        <v>265.0</v>
      </c>
      <c r="G74" s="34">
        <f t="shared" si="1"/>
        <v>530</v>
      </c>
      <c r="H74" s="35"/>
      <c r="I74" s="36">
        <v>265.0</v>
      </c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>
        <f t="shared" si="2"/>
        <v>265</v>
      </c>
      <c r="AL74" s="28">
        <v>0.0</v>
      </c>
      <c r="AM74" s="34" t="s">
        <v>46</v>
      </c>
      <c r="AN74" s="37">
        <v>7983070.0</v>
      </c>
      <c r="AO74" s="29">
        <f t="shared" si="3"/>
        <v>2115513550</v>
      </c>
      <c r="AP74" s="30" t="str">
        <f t="shared" si="4"/>
        <v>&gt;1 tahun</v>
      </c>
      <c r="AQ74" s="31"/>
      <c r="AR74" s="31"/>
      <c r="AS74" s="31"/>
      <c r="AT74" s="31"/>
      <c r="AU74" s="31"/>
      <c r="AV74" s="25">
        <v>265.0</v>
      </c>
    </row>
    <row r="75">
      <c r="A75" s="23">
        <f t="shared" si="5"/>
        <v>72</v>
      </c>
      <c r="B75" s="33" t="s">
        <v>160</v>
      </c>
      <c r="C75" s="33" t="s">
        <v>161</v>
      </c>
      <c r="D75" s="33" t="s">
        <v>164</v>
      </c>
      <c r="E75" s="34">
        <v>54.0</v>
      </c>
      <c r="F75" s="34">
        <v>54.0</v>
      </c>
      <c r="G75" s="34">
        <f t="shared" si="1"/>
        <v>108</v>
      </c>
      <c r="H75" s="35"/>
      <c r="I75" s="36">
        <v>54.0</v>
      </c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>
        <f t="shared" si="2"/>
        <v>54</v>
      </c>
      <c r="AL75" s="28">
        <v>0.0</v>
      </c>
      <c r="AM75" s="34" t="s">
        <v>46</v>
      </c>
      <c r="AN75" s="37">
        <v>1.5572691E7</v>
      </c>
      <c r="AO75" s="29">
        <f t="shared" si="3"/>
        <v>840925314</v>
      </c>
      <c r="AP75" s="30" t="str">
        <f t="shared" si="4"/>
        <v>&gt;1 tahun</v>
      </c>
      <c r="AQ75" s="31"/>
      <c r="AR75" s="31"/>
      <c r="AS75" s="31"/>
      <c r="AT75" s="31"/>
      <c r="AU75" s="31"/>
      <c r="AV75" s="25">
        <v>54.0</v>
      </c>
    </row>
    <row r="76">
      <c r="A76" s="23">
        <f t="shared" si="5"/>
        <v>73</v>
      </c>
      <c r="B76" s="33" t="s">
        <v>60</v>
      </c>
      <c r="C76" s="33" t="s">
        <v>165</v>
      </c>
      <c r="D76" s="33" t="s">
        <v>166</v>
      </c>
      <c r="E76" s="34">
        <v>8.0</v>
      </c>
      <c r="F76" s="34">
        <v>8.0</v>
      </c>
      <c r="G76" s="34">
        <f t="shared" si="1"/>
        <v>16</v>
      </c>
      <c r="H76" s="35"/>
      <c r="I76" s="35"/>
      <c r="J76" s="35"/>
      <c r="K76" s="35"/>
      <c r="L76" s="35"/>
      <c r="M76" s="36">
        <v>8.0</v>
      </c>
      <c r="N76" s="35"/>
      <c r="O76" s="35"/>
      <c r="P76" s="35"/>
      <c r="Q76" s="35"/>
      <c r="R76" s="35"/>
      <c r="S76" s="35"/>
      <c r="T76" s="35"/>
      <c r="U76" s="35"/>
      <c r="V76" s="35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>
        <f t="shared" si="2"/>
        <v>8</v>
      </c>
      <c r="AL76" s="28">
        <v>0.0</v>
      </c>
      <c r="AM76" s="34" t="s">
        <v>63</v>
      </c>
      <c r="AN76" s="37">
        <v>1.9296042E7</v>
      </c>
      <c r="AO76" s="29">
        <f t="shared" si="3"/>
        <v>154368336</v>
      </c>
      <c r="AP76" s="30" t="str">
        <f t="shared" si="4"/>
        <v>&gt;1 tahun</v>
      </c>
      <c r="AQ76" s="31"/>
      <c r="AR76" s="31"/>
      <c r="AS76" s="31"/>
      <c r="AT76" s="31"/>
      <c r="AU76" s="31"/>
      <c r="AV76" s="25">
        <v>8.0</v>
      </c>
    </row>
    <row r="77">
      <c r="A77" s="23">
        <f t="shared" si="5"/>
        <v>74</v>
      </c>
      <c r="B77" s="33" t="s">
        <v>167</v>
      </c>
      <c r="C77" s="33" t="s">
        <v>168</v>
      </c>
      <c r="D77" s="33" t="s">
        <v>169</v>
      </c>
      <c r="E77" s="34">
        <v>2.0</v>
      </c>
      <c r="F77" s="34">
        <v>2.0</v>
      </c>
      <c r="G77" s="34">
        <f t="shared" si="1"/>
        <v>4</v>
      </c>
      <c r="H77" s="35"/>
      <c r="I77" s="35"/>
      <c r="J77" s="35"/>
      <c r="K77" s="35"/>
      <c r="L77" s="35"/>
      <c r="M77" s="35"/>
      <c r="N77" s="35"/>
      <c r="O77" s="36">
        <v>2.0</v>
      </c>
      <c r="P77" s="35"/>
      <c r="Q77" s="35"/>
      <c r="R77" s="35"/>
      <c r="S77" s="35"/>
      <c r="T77" s="35"/>
      <c r="U77" s="35"/>
      <c r="V77" s="35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>
        <f t="shared" si="2"/>
        <v>2</v>
      </c>
      <c r="AL77" s="28">
        <v>0.0</v>
      </c>
      <c r="AM77" s="34" t="s">
        <v>63</v>
      </c>
      <c r="AN77" s="37">
        <v>3422455.0</v>
      </c>
      <c r="AO77" s="29">
        <f t="shared" si="3"/>
        <v>6844910</v>
      </c>
      <c r="AP77" s="30" t="str">
        <f t="shared" si="4"/>
        <v>&gt;1 tahun</v>
      </c>
      <c r="AQ77" s="31"/>
      <c r="AR77" s="31"/>
      <c r="AS77" s="31"/>
      <c r="AT77" s="31"/>
      <c r="AU77" s="31"/>
      <c r="AV77" s="25">
        <v>2.0</v>
      </c>
    </row>
    <row r="78">
      <c r="A78" s="23">
        <f t="shared" si="5"/>
        <v>75</v>
      </c>
      <c r="B78" s="33" t="s">
        <v>170</v>
      </c>
      <c r="C78" s="33" t="s">
        <v>70</v>
      </c>
      <c r="D78" s="33" t="s">
        <v>71</v>
      </c>
      <c r="E78" s="34">
        <v>25.0</v>
      </c>
      <c r="F78" s="34">
        <v>25.0</v>
      </c>
      <c r="G78" s="34">
        <f t="shared" si="1"/>
        <v>50</v>
      </c>
      <c r="H78" s="35"/>
      <c r="I78" s="35"/>
      <c r="J78" s="35"/>
      <c r="K78" s="35"/>
      <c r="L78" s="35"/>
      <c r="M78" s="35"/>
      <c r="N78" s="35"/>
      <c r="O78" s="35"/>
      <c r="P78" s="36">
        <v>25.0</v>
      </c>
      <c r="Q78" s="35"/>
      <c r="R78" s="35"/>
      <c r="S78" s="35"/>
      <c r="T78" s="35"/>
      <c r="U78" s="35"/>
      <c r="V78" s="35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>
        <f t="shared" si="2"/>
        <v>25</v>
      </c>
      <c r="AL78" s="28">
        <v>0.0</v>
      </c>
      <c r="AM78" s="34" t="s">
        <v>67</v>
      </c>
      <c r="AN78" s="37">
        <v>1.0701302E7</v>
      </c>
      <c r="AO78" s="29">
        <f t="shared" si="3"/>
        <v>267532550</v>
      </c>
      <c r="AP78" s="30" t="str">
        <f t="shared" si="4"/>
        <v>&gt;1 tahun</v>
      </c>
      <c r="AQ78" s="31"/>
      <c r="AR78" s="31"/>
      <c r="AS78" s="31"/>
      <c r="AT78" s="31"/>
      <c r="AU78" s="31"/>
      <c r="AV78" s="25">
        <v>25.0</v>
      </c>
    </row>
    <row r="79">
      <c r="A79" s="23">
        <f t="shared" si="5"/>
        <v>76</v>
      </c>
      <c r="B79" s="33" t="s">
        <v>170</v>
      </c>
      <c r="C79" s="33" t="s">
        <v>72</v>
      </c>
      <c r="D79" s="33" t="s">
        <v>73</v>
      </c>
      <c r="E79" s="34">
        <v>25.0</v>
      </c>
      <c r="F79" s="34">
        <v>25.0</v>
      </c>
      <c r="G79" s="34">
        <f t="shared" si="1"/>
        <v>50</v>
      </c>
      <c r="H79" s="35"/>
      <c r="I79" s="35"/>
      <c r="J79" s="35"/>
      <c r="K79" s="35"/>
      <c r="L79" s="35"/>
      <c r="M79" s="35"/>
      <c r="N79" s="35"/>
      <c r="O79" s="35"/>
      <c r="P79" s="36">
        <v>25.0</v>
      </c>
      <c r="Q79" s="35"/>
      <c r="R79" s="35"/>
      <c r="S79" s="35"/>
      <c r="T79" s="35"/>
      <c r="U79" s="35"/>
      <c r="V79" s="35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>
        <f t="shared" si="2"/>
        <v>25</v>
      </c>
      <c r="AL79" s="28">
        <v>0.0</v>
      </c>
      <c r="AM79" s="34" t="s">
        <v>67</v>
      </c>
      <c r="AN79" s="37">
        <v>1.2364864E7</v>
      </c>
      <c r="AO79" s="29">
        <f t="shared" si="3"/>
        <v>309121600</v>
      </c>
      <c r="AP79" s="30" t="str">
        <f t="shared" si="4"/>
        <v>&gt;1 tahun</v>
      </c>
      <c r="AQ79" s="31"/>
      <c r="AR79" s="31"/>
      <c r="AS79" s="31"/>
      <c r="AT79" s="31"/>
      <c r="AU79" s="31"/>
      <c r="AV79" s="25">
        <v>25.0</v>
      </c>
    </row>
    <row r="80">
      <c r="A80" s="23">
        <f t="shared" si="5"/>
        <v>77</v>
      </c>
      <c r="B80" s="33" t="s">
        <v>171</v>
      </c>
      <c r="C80" s="33" t="s">
        <v>172</v>
      </c>
      <c r="D80" s="33" t="s">
        <v>173</v>
      </c>
      <c r="E80" s="34">
        <v>15.0</v>
      </c>
      <c r="F80" s="34">
        <v>15.0</v>
      </c>
      <c r="G80" s="34">
        <f t="shared" si="1"/>
        <v>30</v>
      </c>
      <c r="H80" s="35"/>
      <c r="I80" s="35"/>
      <c r="J80" s="35"/>
      <c r="K80" s="35"/>
      <c r="L80" s="35"/>
      <c r="M80" s="35"/>
      <c r="N80" s="35"/>
      <c r="O80" s="35"/>
      <c r="P80" s="36">
        <v>15.0</v>
      </c>
      <c r="Q80" s="35"/>
      <c r="R80" s="35"/>
      <c r="S80" s="35"/>
      <c r="T80" s="35"/>
      <c r="U80" s="35"/>
      <c r="V80" s="35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>
        <f t="shared" si="2"/>
        <v>15</v>
      </c>
      <c r="AL80" s="28">
        <v>0.0</v>
      </c>
      <c r="AM80" s="34" t="s">
        <v>67</v>
      </c>
      <c r="AN80" s="37">
        <v>3837790.0</v>
      </c>
      <c r="AO80" s="29">
        <f t="shared" si="3"/>
        <v>57566850</v>
      </c>
      <c r="AP80" s="30" t="str">
        <f t="shared" si="4"/>
        <v>&gt;1 tahun</v>
      </c>
      <c r="AQ80" s="31"/>
      <c r="AR80" s="31"/>
      <c r="AS80" s="31"/>
      <c r="AT80" s="31"/>
      <c r="AU80" s="31"/>
      <c r="AV80" s="25">
        <v>15.0</v>
      </c>
    </row>
    <row r="81">
      <c r="A81" s="23">
        <f t="shared" si="5"/>
        <v>78</v>
      </c>
      <c r="B81" s="33" t="s">
        <v>171</v>
      </c>
      <c r="C81" s="33" t="s">
        <v>172</v>
      </c>
      <c r="D81" s="33" t="s">
        <v>174</v>
      </c>
      <c r="E81" s="34">
        <v>30.0</v>
      </c>
      <c r="F81" s="34">
        <v>30.0</v>
      </c>
      <c r="G81" s="34">
        <f t="shared" si="1"/>
        <v>60</v>
      </c>
      <c r="H81" s="35"/>
      <c r="I81" s="35"/>
      <c r="J81" s="35"/>
      <c r="K81" s="35"/>
      <c r="L81" s="35"/>
      <c r="M81" s="35"/>
      <c r="N81" s="35"/>
      <c r="O81" s="35"/>
      <c r="P81" s="36">
        <v>30.0</v>
      </c>
      <c r="Q81" s="35"/>
      <c r="R81" s="35"/>
      <c r="S81" s="35"/>
      <c r="T81" s="35"/>
      <c r="U81" s="35"/>
      <c r="V81" s="35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>
        <f t="shared" si="2"/>
        <v>30</v>
      </c>
      <c r="AL81" s="28">
        <v>0.0</v>
      </c>
      <c r="AM81" s="34" t="s">
        <v>67</v>
      </c>
      <c r="AN81" s="37">
        <v>4108290.0</v>
      </c>
      <c r="AO81" s="29">
        <f t="shared" si="3"/>
        <v>123248700</v>
      </c>
      <c r="AP81" s="30" t="str">
        <f t="shared" si="4"/>
        <v>&gt;1 tahun</v>
      </c>
      <c r="AQ81" s="31"/>
      <c r="AR81" s="31"/>
      <c r="AS81" s="31"/>
      <c r="AT81" s="31"/>
      <c r="AU81" s="31"/>
      <c r="AV81" s="25">
        <v>30.0</v>
      </c>
    </row>
    <row r="82">
      <c r="A82" s="23">
        <f t="shared" si="5"/>
        <v>79</v>
      </c>
      <c r="B82" s="33" t="s">
        <v>175</v>
      </c>
      <c r="C82" s="33" t="s">
        <v>75</v>
      </c>
      <c r="D82" s="33" t="s">
        <v>80</v>
      </c>
      <c r="E82" s="34">
        <v>10.0</v>
      </c>
      <c r="F82" s="34">
        <v>10.0</v>
      </c>
      <c r="G82" s="34">
        <f t="shared" si="1"/>
        <v>20</v>
      </c>
      <c r="H82" s="35"/>
      <c r="I82" s="35"/>
      <c r="J82" s="35"/>
      <c r="K82" s="35"/>
      <c r="L82" s="35"/>
      <c r="M82" s="36">
        <v>10.0</v>
      </c>
      <c r="N82" s="35"/>
      <c r="O82" s="35"/>
      <c r="P82" s="35"/>
      <c r="Q82" s="35"/>
      <c r="R82" s="35"/>
      <c r="S82" s="35"/>
      <c r="T82" s="35"/>
      <c r="U82" s="35"/>
      <c r="V82" s="35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>
        <f t="shared" si="2"/>
        <v>10</v>
      </c>
      <c r="AL82" s="28">
        <v>0.0</v>
      </c>
      <c r="AM82" s="34" t="s">
        <v>46</v>
      </c>
      <c r="AN82" s="37">
        <v>1.1097693E7</v>
      </c>
      <c r="AO82" s="29">
        <f t="shared" si="3"/>
        <v>110976930</v>
      </c>
      <c r="AP82" s="30" t="str">
        <f t="shared" si="4"/>
        <v>&gt;1 tahun</v>
      </c>
      <c r="AQ82" s="31"/>
      <c r="AR82" s="31"/>
      <c r="AS82" s="31"/>
      <c r="AT82" s="31"/>
      <c r="AU82" s="31"/>
      <c r="AV82" s="25">
        <v>10.0</v>
      </c>
    </row>
    <row r="83">
      <c r="A83" s="23">
        <f t="shared" si="5"/>
        <v>80</v>
      </c>
      <c r="B83" s="33" t="s">
        <v>60</v>
      </c>
      <c r="C83" s="33" t="s">
        <v>176</v>
      </c>
      <c r="D83" s="33" t="s">
        <v>177</v>
      </c>
      <c r="E83" s="34">
        <v>3.0</v>
      </c>
      <c r="F83" s="34">
        <v>3.0</v>
      </c>
      <c r="G83" s="34">
        <f t="shared" si="1"/>
        <v>6</v>
      </c>
      <c r="H83" s="35"/>
      <c r="I83" s="35"/>
      <c r="J83" s="35"/>
      <c r="K83" s="35"/>
      <c r="L83" s="35"/>
      <c r="M83" s="35"/>
      <c r="N83" s="35"/>
      <c r="O83" s="36">
        <v>3.0</v>
      </c>
      <c r="P83" s="35"/>
      <c r="Q83" s="35"/>
      <c r="R83" s="35"/>
      <c r="S83" s="35"/>
      <c r="T83" s="35"/>
      <c r="U83" s="35"/>
      <c r="V83" s="35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>
        <f t="shared" si="2"/>
        <v>3</v>
      </c>
      <c r="AL83" s="28">
        <v>0.0</v>
      </c>
      <c r="AM83" s="34" t="s">
        <v>63</v>
      </c>
      <c r="AN83" s="37">
        <v>4161750.0</v>
      </c>
      <c r="AO83" s="29">
        <f t="shared" si="3"/>
        <v>12485250</v>
      </c>
      <c r="AP83" s="30" t="str">
        <f t="shared" si="4"/>
        <v>&gt;1 tahun</v>
      </c>
      <c r="AQ83" s="31"/>
      <c r="AR83" s="31"/>
      <c r="AS83" s="31"/>
      <c r="AT83" s="31"/>
      <c r="AU83" s="31"/>
      <c r="AV83" s="25">
        <v>3.0</v>
      </c>
    </row>
    <row r="84">
      <c r="A84" s="23">
        <f t="shared" si="5"/>
        <v>81</v>
      </c>
      <c r="B84" s="33" t="s">
        <v>103</v>
      </c>
      <c r="C84" s="33" t="s">
        <v>104</v>
      </c>
      <c r="D84" s="33" t="s">
        <v>105</v>
      </c>
      <c r="E84" s="34">
        <v>134.0</v>
      </c>
      <c r="F84" s="34">
        <v>134.0</v>
      </c>
      <c r="G84" s="34">
        <f t="shared" si="1"/>
        <v>268</v>
      </c>
      <c r="H84" s="35"/>
      <c r="I84" s="35"/>
      <c r="J84" s="35"/>
      <c r="K84" s="35"/>
      <c r="L84" s="35"/>
      <c r="M84" s="35"/>
      <c r="N84" s="36">
        <v>134.0</v>
      </c>
      <c r="O84" s="35"/>
      <c r="P84" s="35"/>
      <c r="Q84" s="35"/>
      <c r="R84" s="35"/>
      <c r="S84" s="35"/>
      <c r="T84" s="35"/>
      <c r="U84" s="35"/>
      <c r="V84" s="35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>
        <f t="shared" si="2"/>
        <v>134</v>
      </c>
      <c r="AL84" s="28">
        <v>0.0</v>
      </c>
      <c r="AM84" s="34" t="s">
        <v>63</v>
      </c>
      <c r="AN84" s="37">
        <v>4771064.0</v>
      </c>
      <c r="AO84" s="29">
        <f t="shared" si="3"/>
        <v>639322576</v>
      </c>
      <c r="AP84" s="30" t="str">
        <f t="shared" si="4"/>
        <v>&gt;1 tahun</v>
      </c>
      <c r="AQ84" s="31"/>
      <c r="AR84" s="31"/>
      <c r="AS84" s="31"/>
      <c r="AT84" s="31"/>
      <c r="AU84" s="31"/>
      <c r="AV84" s="25">
        <v>134.0</v>
      </c>
    </row>
    <row r="85">
      <c r="A85" s="23">
        <f t="shared" si="5"/>
        <v>82</v>
      </c>
      <c r="B85" s="33" t="s">
        <v>178</v>
      </c>
      <c r="C85" s="33" t="s">
        <v>179</v>
      </c>
      <c r="D85" s="33" t="s">
        <v>180</v>
      </c>
      <c r="E85" s="34">
        <v>136.0</v>
      </c>
      <c r="F85" s="34">
        <v>136.0</v>
      </c>
      <c r="G85" s="34">
        <f t="shared" si="1"/>
        <v>272</v>
      </c>
      <c r="H85" s="35"/>
      <c r="I85" s="35"/>
      <c r="J85" s="36">
        <f>15+12+15+28+24</f>
        <v>94</v>
      </c>
      <c r="K85" s="35"/>
      <c r="L85" s="36">
        <f>42</f>
        <v>42</v>
      </c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>
        <f t="shared" si="2"/>
        <v>136</v>
      </c>
      <c r="AL85" s="28">
        <v>0.0</v>
      </c>
      <c r="AM85" s="34" t="s">
        <v>67</v>
      </c>
      <c r="AN85" s="37">
        <v>1.3919374E7</v>
      </c>
      <c r="AO85" s="29">
        <f t="shared" si="3"/>
        <v>1893034864</v>
      </c>
      <c r="AP85" s="30" t="str">
        <f t="shared" si="4"/>
        <v>&gt;1 tahun</v>
      </c>
      <c r="AQ85" s="31"/>
      <c r="AR85" s="31"/>
      <c r="AS85" s="31"/>
      <c r="AT85" s="31"/>
      <c r="AU85" s="31"/>
      <c r="AV85" s="25">
        <v>136.0</v>
      </c>
    </row>
    <row r="86">
      <c r="A86" s="38">
        <f t="shared" si="5"/>
        <v>83</v>
      </c>
      <c r="B86" s="24" t="s">
        <v>181</v>
      </c>
      <c r="C86" s="24" t="s">
        <v>182</v>
      </c>
      <c r="D86" s="24" t="s">
        <v>183</v>
      </c>
      <c r="E86" s="25">
        <v>9.0</v>
      </c>
      <c r="F86" s="39">
        <v>0.0</v>
      </c>
      <c r="G86" s="25">
        <f t="shared" si="1"/>
        <v>9</v>
      </c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5">
        <v>0.0</v>
      </c>
      <c r="AL86" s="28">
        <v>0.0</v>
      </c>
      <c r="AM86" s="25" t="s">
        <v>67</v>
      </c>
      <c r="AN86" s="25" t="s">
        <v>184</v>
      </c>
      <c r="AO86" s="29">
        <v>0.0</v>
      </c>
      <c r="AP86" s="25" t="s">
        <v>185</v>
      </c>
      <c r="AQ86" s="26"/>
      <c r="AR86" s="25" t="s">
        <v>186</v>
      </c>
      <c r="AS86" s="26"/>
      <c r="AT86" s="26"/>
      <c r="AU86" s="26"/>
      <c r="AV86" s="26"/>
    </row>
    <row r="87">
      <c r="A87" s="23">
        <f t="shared" si="5"/>
        <v>84</v>
      </c>
      <c r="B87" s="24" t="s">
        <v>181</v>
      </c>
      <c r="C87" s="24" t="s">
        <v>182</v>
      </c>
      <c r="D87" s="24" t="s">
        <v>187</v>
      </c>
      <c r="E87" s="25">
        <v>116.0</v>
      </c>
      <c r="F87" s="39">
        <v>0.0</v>
      </c>
      <c r="G87" s="25">
        <f t="shared" si="1"/>
        <v>116</v>
      </c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26"/>
      <c r="X87" s="26"/>
      <c r="Y87" s="26"/>
      <c r="Z87" s="27">
        <v>116.0</v>
      </c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5">
        <v>116.0</v>
      </c>
      <c r="AL87" s="28">
        <v>0.0</v>
      </c>
      <c r="AM87" s="25" t="s">
        <v>67</v>
      </c>
      <c r="AN87" s="25" t="s">
        <v>188</v>
      </c>
      <c r="AO87" s="25" t="s">
        <v>189</v>
      </c>
      <c r="AP87" s="25" t="s">
        <v>190</v>
      </c>
      <c r="AQ87" s="25" t="s">
        <v>191</v>
      </c>
      <c r="AR87" s="26"/>
      <c r="AS87" s="26"/>
      <c r="AT87" s="26"/>
      <c r="AU87" s="26"/>
      <c r="AV87" s="26"/>
    </row>
    <row r="88">
      <c r="A88" s="23">
        <f t="shared" si="5"/>
        <v>85</v>
      </c>
      <c r="B88" s="24" t="s">
        <v>192</v>
      </c>
      <c r="C88" s="24" t="s">
        <v>193</v>
      </c>
      <c r="D88" s="24" t="s">
        <v>183</v>
      </c>
      <c r="E88" s="25">
        <v>2.0</v>
      </c>
      <c r="F88" s="39">
        <v>0.0</v>
      </c>
      <c r="G88" s="25">
        <f t="shared" si="1"/>
        <v>2</v>
      </c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26"/>
      <c r="X88" s="26"/>
      <c r="Y88" s="26"/>
      <c r="Z88" s="27">
        <v>2.0</v>
      </c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5">
        <v>2.0</v>
      </c>
      <c r="AL88" s="28">
        <v>0.0</v>
      </c>
      <c r="AM88" s="25" t="s">
        <v>67</v>
      </c>
      <c r="AN88" s="25" t="s">
        <v>184</v>
      </c>
      <c r="AO88" s="25" t="s">
        <v>184</v>
      </c>
      <c r="AP88" s="25" t="s">
        <v>190</v>
      </c>
      <c r="AQ88" s="25" t="s">
        <v>194</v>
      </c>
      <c r="AR88" s="26"/>
      <c r="AS88" s="26"/>
      <c r="AT88" s="26"/>
      <c r="AU88" s="26"/>
      <c r="AV88" s="26"/>
    </row>
    <row r="89">
      <c r="A89" s="23">
        <f t="shared" si="5"/>
        <v>86</v>
      </c>
      <c r="B89" s="24" t="s">
        <v>181</v>
      </c>
      <c r="C89" s="24" t="s">
        <v>195</v>
      </c>
      <c r="D89" s="24" t="s">
        <v>196</v>
      </c>
      <c r="E89" s="25">
        <v>25.0</v>
      </c>
      <c r="F89" s="39">
        <v>0.0</v>
      </c>
      <c r="G89" s="25">
        <f t="shared" si="1"/>
        <v>25</v>
      </c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26"/>
      <c r="X89" s="26"/>
      <c r="Y89" s="26"/>
      <c r="Z89" s="27">
        <v>25.0</v>
      </c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5">
        <v>25.0</v>
      </c>
      <c r="AL89" s="28">
        <v>0.0</v>
      </c>
      <c r="AM89" s="25" t="s">
        <v>67</v>
      </c>
      <c r="AN89" s="25" t="s">
        <v>197</v>
      </c>
      <c r="AO89" s="25" t="s">
        <v>198</v>
      </c>
      <c r="AP89" s="25" t="s">
        <v>185</v>
      </c>
      <c r="AQ89" s="26"/>
      <c r="AR89" s="25" t="s">
        <v>199</v>
      </c>
      <c r="AS89" s="26"/>
      <c r="AT89" s="26"/>
      <c r="AU89" s="26"/>
      <c r="AV89" s="26"/>
    </row>
    <row r="90">
      <c r="A90" s="23">
        <f t="shared" si="5"/>
        <v>87</v>
      </c>
      <c r="B90" s="24" t="s">
        <v>192</v>
      </c>
      <c r="C90" s="24" t="s">
        <v>200</v>
      </c>
      <c r="D90" s="24" t="s">
        <v>187</v>
      </c>
      <c r="E90" s="25">
        <v>58.0</v>
      </c>
      <c r="F90" s="39">
        <v>0.0</v>
      </c>
      <c r="G90" s="25">
        <f t="shared" si="1"/>
        <v>58</v>
      </c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26"/>
      <c r="X90" s="26"/>
      <c r="Y90" s="26"/>
      <c r="Z90" s="27">
        <v>58.0</v>
      </c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5">
        <v>58.0</v>
      </c>
      <c r="AL90" s="28">
        <v>0.0</v>
      </c>
      <c r="AM90" s="25" t="s">
        <v>67</v>
      </c>
      <c r="AN90" s="25" t="s">
        <v>201</v>
      </c>
      <c r="AO90" s="25" t="s">
        <v>202</v>
      </c>
      <c r="AP90" s="25" t="s">
        <v>185</v>
      </c>
      <c r="AQ90" s="26"/>
      <c r="AR90" s="25" t="s">
        <v>203</v>
      </c>
      <c r="AS90" s="26"/>
      <c r="AT90" s="26"/>
      <c r="AU90" s="26"/>
      <c r="AV90" s="26"/>
    </row>
    <row r="91">
      <c r="A91" s="23">
        <f t="shared" si="5"/>
        <v>88</v>
      </c>
      <c r="B91" s="24" t="s">
        <v>204</v>
      </c>
      <c r="C91" s="24" t="s">
        <v>205</v>
      </c>
      <c r="D91" s="24" t="s">
        <v>206</v>
      </c>
      <c r="E91" s="25">
        <v>117.0</v>
      </c>
      <c r="F91" s="39">
        <v>0.0</v>
      </c>
      <c r="G91" s="25">
        <f t="shared" si="1"/>
        <v>117</v>
      </c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26"/>
      <c r="X91" s="26"/>
      <c r="Y91" s="26"/>
      <c r="Z91" s="26"/>
      <c r="AA91" s="27">
        <v>117.0</v>
      </c>
      <c r="AB91" s="26"/>
      <c r="AC91" s="26"/>
      <c r="AD91" s="26"/>
      <c r="AE91" s="26"/>
      <c r="AF91" s="26"/>
      <c r="AG91" s="26"/>
      <c r="AH91" s="26"/>
      <c r="AI91" s="26"/>
      <c r="AJ91" s="26"/>
      <c r="AK91" s="25">
        <v>117.0</v>
      </c>
      <c r="AL91" s="28">
        <v>0.0</v>
      </c>
      <c r="AM91" s="25" t="s">
        <v>67</v>
      </c>
      <c r="AN91" s="25" t="s">
        <v>207</v>
      </c>
      <c r="AO91" s="25" t="s">
        <v>208</v>
      </c>
      <c r="AP91" s="25" t="s">
        <v>190</v>
      </c>
      <c r="AQ91" s="25" t="s">
        <v>209</v>
      </c>
      <c r="AR91" s="26"/>
      <c r="AS91" s="26"/>
      <c r="AT91" s="26"/>
      <c r="AU91" s="26"/>
      <c r="AV91" s="26"/>
    </row>
    <row r="92">
      <c r="A92" s="23">
        <f t="shared" si="5"/>
        <v>89</v>
      </c>
      <c r="B92" s="24" t="s">
        <v>210</v>
      </c>
      <c r="C92" s="24" t="s">
        <v>211</v>
      </c>
      <c r="D92" s="24" t="s">
        <v>212</v>
      </c>
      <c r="E92" s="25">
        <v>597.0</v>
      </c>
      <c r="F92" s="39">
        <v>0.0</v>
      </c>
      <c r="G92" s="25">
        <f t="shared" si="1"/>
        <v>597</v>
      </c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26"/>
      <c r="X92" s="26"/>
      <c r="Y92" s="26"/>
      <c r="Z92" s="27">
        <v>569.0</v>
      </c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5">
        <v>569.0</v>
      </c>
      <c r="AL92" s="28">
        <v>0.0</v>
      </c>
      <c r="AM92" s="25" t="s">
        <v>67</v>
      </c>
      <c r="AN92" s="25" t="s">
        <v>184</v>
      </c>
      <c r="AO92" s="25" t="s">
        <v>213</v>
      </c>
      <c r="AP92" s="25" t="s">
        <v>214</v>
      </c>
      <c r="AQ92" s="25" t="s">
        <v>215</v>
      </c>
      <c r="AR92" s="25" t="s">
        <v>216</v>
      </c>
      <c r="AS92" s="26"/>
      <c r="AT92" s="26"/>
      <c r="AU92" s="26"/>
      <c r="AV92" s="26"/>
    </row>
    <row r="93">
      <c r="A93" s="23">
        <f t="shared" si="5"/>
        <v>90</v>
      </c>
      <c r="B93" s="24" t="s">
        <v>210</v>
      </c>
      <c r="C93" s="24" t="s">
        <v>211</v>
      </c>
      <c r="D93" s="24" t="s">
        <v>217</v>
      </c>
      <c r="E93" s="25">
        <v>310.0</v>
      </c>
      <c r="F93" s="39">
        <v>0.0</v>
      </c>
      <c r="G93" s="25">
        <f t="shared" si="1"/>
        <v>310</v>
      </c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26"/>
      <c r="X93" s="26"/>
      <c r="Y93" s="26"/>
      <c r="Z93" s="27">
        <v>175.0</v>
      </c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5">
        <v>175.0</v>
      </c>
      <c r="AL93" s="28">
        <v>0.0</v>
      </c>
      <c r="AM93" s="25" t="s">
        <v>67</v>
      </c>
      <c r="AN93" s="25" t="s">
        <v>188</v>
      </c>
      <c r="AO93" s="25" t="s">
        <v>218</v>
      </c>
      <c r="AP93" s="25" t="s">
        <v>190</v>
      </c>
      <c r="AQ93" s="25" t="s">
        <v>219</v>
      </c>
      <c r="AR93" s="26"/>
      <c r="AS93" s="26"/>
      <c r="AT93" s="26"/>
      <c r="AU93" s="26"/>
      <c r="AV93" s="26"/>
    </row>
    <row r="94">
      <c r="A94" s="23">
        <f t="shared" si="5"/>
        <v>91</v>
      </c>
      <c r="B94" s="24" t="s">
        <v>192</v>
      </c>
      <c r="C94" s="24" t="s">
        <v>220</v>
      </c>
      <c r="D94" s="24" t="s">
        <v>217</v>
      </c>
      <c r="E94" s="25">
        <v>25.0</v>
      </c>
      <c r="F94" s="39">
        <v>0.0</v>
      </c>
      <c r="G94" s="25">
        <f t="shared" si="1"/>
        <v>25</v>
      </c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26"/>
      <c r="X94" s="26"/>
      <c r="Y94" s="26"/>
      <c r="Z94" s="27">
        <v>25.0</v>
      </c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5">
        <v>25.0</v>
      </c>
      <c r="AL94" s="28">
        <v>0.0</v>
      </c>
      <c r="AM94" s="25" t="s">
        <v>67</v>
      </c>
      <c r="AN94" s="25" t="s">
        <v>188</v>
      </c>
      <c r="AO94" s="25" t="s">
        <v>221</v>
      </c>
      <c r="AP94" s="25" t="s">
        <v>185</v>
      </c>
      <c r="AQ94" s="26"/>
      <c r="AR94" s="25" t="s">
        <v>199</v>
      </c>
      <c r="AS94" s="26"/>
      <c r="AT94" s="26"/>
      <c r="AU94" s="26"/>
      <c r="AV94" s="26"/>
    </row>
    <row r="95">
      <c r="A95" s="23">
        <f t="shared" si="5"/>
        <v>92</v>
      </c>
      <c r="B95" s="24" t="s">
        <v>222</v>
      </c>
      <c r="C95" s="26"/>
      <c r="D95" s="24" t="s">
        <v>223</v>
      </c>
      <c r="E95" s="25">
        <v>5.0</v>
      </c>
      <c r="F95" s="39">
        <v>5.0</v>
      </c>
      <c r="G95" s="25">
        <f t="shared" si="1"/>
        <v>10</v>
      </c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26"/>
      <c r="X95" s="26"/>
      <c r="Y95" s="26"/>
      <c r="Z95" s="26"/>
      <c r="AA95" s="27">
        <v>5.0</v>
      </c>
      <c r="AB95" s="26"/>
      <c r="AC95" s="26"/>
      <c r="AD95" s="26"/>
      <c r="AE95" s="26"/>
      <c r="AF95" s="26"/>
      <c r="AG95" s="26"/>
      <c r="AH95" s="26"/>
      <c r="AI95" s="26"/>
      <c r="AJ95" s="26"/>
      <c r="AK95" s="25">
        <v>5.0</v>
      </c>
      <c r="AL95" s="28">
        <v>0.0</v>
      </c>
      <c r="AM95" s="25" t="s">
        <v>67</v>
      </c>
      <c r="AN95" s="25" t="s">
        <v>224</v>
      </c>
      <c r="AO95" s="25" t="s">
        <v>225</v>
      </c>
      <c r="AP95" s="25" t="s">
        <v>226</v>
      </c>
      <c r="AQ95" s="26"/>
      <c r="AR95" s="26"/>
      <c r="AS95" s="26"/>
      <c r="AT95" s="26"/>
      <c r="AU95" s="26"/>
      <c r="AV95" s="25" t="s">
        <v>227</v>
      </c>
    </row>
    <row r="96">
      <c r="A96" s="23">
        <f t="shared" si="5"/>
        <v>93</v>
      </c>
      <c r="B96" s="24" t="s">
        <v>228</v>
      </c>
      <c r="C96" s="26"/>
      <c r="D96" s="24" t="s">
        <v>229</v>
      </c>
      <c r="E96" s="25">
        <v>1.0</v>
      </c>
      <c r="F96" s="39">
        <v>1.0</v>
      </c>
      <c r="G96" s="25">
        <f t="shared" si="1"/>
        <v>2</v>
      </c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26"/>
      <c r="X96" s="26"/>
      <c r="Y96" s="26"/>
      <c r="Z96" s="26"/>
      <c r="AA96" s="27">
        <v>1.0</v>
      </c>
      <c r="AB96" s="26"/>
      <c r="AC96" s="26"/>
      <c r="AD96" s="26"/>
      <c r="AE96" s="26"/>
      <c r="AF96" s="26"/>
      <c r="AG96" s="26"/>
      <c r="AH96" s="26"/>
      <c r="AI96" s="26"/>
      <c r="AJ96" s="26"/>
      <c r="AK96" s="25">
        <v>1.0</v>
      </c>
      <c r="AL96" s="28">
        <v>0.0</v>
      </c>
      <c r="AM96" s="25" t="s">
        <v>67</v>
      </c>
      <c r="AN96" s="25" t="s">
        <v>230</v>
      </c>
      <c r="AO96" s="25" t="s">
        <v>230</v>
      </c>
      <c r="AP96" s="25" t="s">
        <v>226</v>
      </c>
      <c r="AQ96" s="26"/>
      <c r="AR96" s="26"/>
      <c r="AS96" s="26"/>
      <c r="AT96" s="26"/>
      <c r="AU96" s="26"/>
      <c r="AV96" s="25" t="s">
        <v>231</v>
      </c>
    </row>
    <row r="97">
      <c r="A97" s="23">
        <f t="shared" si="5"/>
        <v>94</v>
      </c>
      <c r="B97" s="24" t="s">
        <v>232</v>
      </c>
      <c r="C97" s="26"/>
      <c r="D97" s="24" t="s">
        <v>223</v>
      </c>
      <c r="E97" s="25">
        <v>5.0</v>
      </c>
      <c r="F97" s="39">
        <v>5.0</v>
      </c>
      <c r="G97" s="25">
        <f t="shared" si="1"/>
        <v>10</v>
      </c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26"/>
      <c r="X97" s="26"/>
      <c r="Y97" s="26"/>
      <c r="Z97" s="26"/>
      <c r="AA97" s="27">
        <v>5.0</v>
      </c>
      <c r="AB97" s="26"/>
      <c r="AC97" s="26"/>
      <c r="AD97" s="26"/>
      <c r="AE97" s="26"/>
      <c r="AF97" s="26"/>
      <c r="AG97" s="26"/>
      <c r="AH97" s="26"/>
      <c r="AI97" s="26"/>
      <c r="AJ97" s="26"/>
      <c r="AK97" s="25">
        <v>5.0</v>
      </c>
      <c r="AL97" s="28">
        <v>0.0</v>
      </c>
      <c r="AM97" s="25" t="s">
        <v>67</v>
      </c>
      <c r="AN97" s="25" t="s">
        <v>224</v>
      </c>
      <c r="AO97" s="25" t="s">
        <v>225</v>
      </c>
      <c r="AP97" s="25" t="s">
        <v>226</v>
      </c>
      <c r="AQ97" s="26"/>
      <c r="AR97" s="26"/>
      <c r="AS97" s="26"/>
      <c r="AT97" s="26"/>
      <c r="AU97" s="26"/>
      <c r="AV97" s="25" t="s">
        <v>227</v>
      </c>
    </row>
    <row r="98">
      <c r="A98" s="23">
        <f t="shared" si="5"/>
        <v>95</v>
      </c>
      <c r="B98" s="24" t="s">
        <v>233</v>
      </c>
      <c r="C98" s="26"/>
      <c r="D98" s="24" t="s">
        <v>234</v>
      </c>
      <c r="E98" s="25">
        <v>4.0</v>
      </c>
      <c r="F98" s="39">
        <v>4.0</v>
      </c>
      <c r="G98" s="25">
        <f t="shared" si="1"/>
        <v>8</v>
      </c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26"/>
      <c r="X98" s="26"/>
      <c r="Y98" s="26"/>
      <c r="Z98" s="26"/>
      <c r="AA98" s="27">
        <v>4.0</v>
      </c>
      <c r="AB98" s="26"/>
      <c r="AC98" s="26"/>
      <c r="AD98" s="26"/>
      <c r="AE98" s="26"/>
      <c r="AF98" s="26"/>
      <c r="AG98" s="26"/>
      <c r="AH98" s="26"/>
      <c r="AI98" s="26"/>
      <c r="AJ98" s="26"/>
      <c r="AK98" s="25">
        <v>4.0</v>
      </c>
      <c r="AL98" s="28">
        <v>0.0</v>
      </c>
      <c r="AM98" s="25" t="s">
        <v>67</v>
      </c>
      <c r="AN98" s="25" t="s">
        <v>235</v>
      </c>
      <c r="AO98" s="25" t="s">
        <v>236</v>
      </c>
      <c r="AP98" s="25" t="s">
        <v>226</v>
      </c>
      <c r="AQ98" s="26"/>
      <c r="AR98" s="26"/>
      <c r="AS98" s="26"/>
      <c r="AT98" s="26"/>
      <c r="AU98" s="26"/>
      <c r="AV98" s="25" t="s">
        <v>237</v>
      </c>
    </row>
    <row r="99">
      <c r="A99" s="23">
        <f t="shared" si="5"/>
        <v>96</v>
      </c>
      <c r="B99" s="24" t="s">
        <v>238</v>
      </c>
      <c r="C99" s="24" t="s">
        <v>239</v>
      </c>
      <c r="D99" s="24" t="s">
        <v>240</v>
      </c>
      <c r="E99" s="25">
        <v>37.0</v>
      </c>
      <c r="F99" s="39">
        <v>37.0</v>
      </c>
      <c r="G99" s="25">
        <f t="shared" si="1"/>
        <v>74</v>
      </c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26"/>
      <c r="X99" s="26"/>
      <c r="Y99" s="26"/>
      <c r="Z99" s="26"/>
      <c r="AA99" s="27">
        <v>37.0</v>
      </c>
      <c r="AB99" s="26"/>
      <c r="AC99" s="26"/>
      <c r="AD99" s="26"/>
      <c r="AE99" s="26"/>
      <c r="AF99" s="26"/>
      <c r="AG99" s="26"/>
      <c r="AH99" s="26"/>
      <c r="AI99" s="26"/>
      <c r="AJ99" s="26"/>
      <c r="AK99" s="25">
        <v>37.0</v>
      </c>
      <c r="AL99" s="28">
        <v>0.0</v>
      </c>
      <c r="AM99" s="25" t="s">
        <v>67</v>
      </c>
      <c r="AN99" s="41">
        <v>916.406</v>
      </c>
      <c r="AO99" s="25" t="s">
        <v>241</v>
      </c>
      <c r="AP99" s="25" t="s">
        <v>242</v>
      </c>
      <c r="AQ99" s="26"/>
      <c r="AR99" s="26"/>
      <c r="AS99" s="25" t="s">
        <v>243</v>
      </c>
      <c r="AT99" s="26"/>
      <c r="AU99" s="26"/>
      <c r="AV99" s="26"/>
    </row>
    <row r="100">
      <c r="A100" s="23">
        <f t="shared" si="5"/>
        <v>97</v>
      </c>
      <c r="B100" s="24" t="s">
        <v>244</v>
      </c>
      <c r="C100" s="24" t="s">
        <v>245</v>
      </c>
      <c r="D100" s="24" t="s">
        <v>246</v>
      </c>
      <c r="E100" s="25">
        <v>9.0</v>
      </c>
      <c r="F100" s="39">
        <v>0.0</v>
      </c>
      <c r="G100" s="25">
        <f t="shared" si="1"/>
        <v>9</v>
      </c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26"/>
      <c r="X100" s="26"/>
      <c r="Y100" s="26"/>
      <c r="Z100" s="26"/>
      <c r="AA100" s="26"/>
      <c r="AB100" s="26"/>
      <c r="AC100" s="27">
        <v>9.0</v>
      </c>
      <c r="AD100" s="26"/>
      <c r="AE100" s="26"/>
      <c r="AF100" s="26"/>
      <c r="AG100" s="26"/>
      <c r="AH100" s="26"/>
      <c r="AI100" s="26"/>
      <c r="AJ100" s="26"/>
      <c r="AK100" s="25">
        <v>9.0</v>
      </c>
      <c r="AL100" s="28">
        <v>0.0</v>
      </c>
      <c r="AM100" s="25" t="s">
        <v>67</v>
      </c>
      <c r="AN100" s="25" t="s">
        <v>247</v>
      </c>
      <c r="AO100" s="25" t="s">
        <v>248</v>
      </c>
      <c r="AP100" s="26"/>
      <c r="AQ100" s="26"/>
      <c r="AR100" s="26"/>
      <c r="AS100" s="26"/>
      <c r="AT100" s="26"/>
      <c r="AU100" s="26"/>
      <c r="AV100" s="26"/>
    </row>
    <row r="101">
      <c r="A101" s="23">
        <f t="shared" si="5"/>
        <v>98</v>
      </c>
      <c r="B101" s="24" t="s">
        <v>249</v>
      </c>
      <c r="C101" s="24" t="s">
        <v>250</v>
      </c>
      <c r="D101" s="24" t="s">
        <v>251</v>
      </c>
      <c r="E101" s="25">
        <v>2.0</v>
      </c>
      <c r="F101" s="39">
        <v>0.0</v>
      </c>
      <c r="G101" s="25">
        <f t="shared" si="1"/>
        <v>2</v>
      </c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26"/>
      <c r="X101" s="26"/>
      <c r="Y101" s="26"/>
      <c r="Z101" s="26"/>
      <c r="AA101" s="26"/>
      <c r="AB101" s="26"/>
      <c r="AC101" s="27">
        <v>2.0</v>
      </c>
      <c r="AD101" s="26"/>
      <c r="AE101" s="26"/>
      <c r="AF101" s="26"/>
      <c r="AG101" s="26"/>
      <c r="AH101" s="26"/>
      <c r="AI101" s="26"/>
      <c r="AJ101" s="26"/>
      <c r="AK101" s="25">
        <v>2.0</v>
      </c>
      <c r="AL101" s="28">
        <v>0.0</v>
      </c>
      <c r="AM101" s="25" t="s">
        <v>67</v>
      </c>
      <c r="AN101" s="25" t="s">
        <v>252</v>
      </c>
      <c r="AO101" s="25" t="s">
        <v>253</v>
      </c>
      <c r="AP101" s="26"/>
      <c r="AQ101" s="26"/>
      <c r="AR101" s="26"/>
      <c r="AS101" s="26"/>
      <c r="AT101" s="26"/>
      <c r="AU101" s="26"/>
      <c r="AV101" s="26"/>
    </row>
    <row r="102">
      <c r="A102" s="23">
        <f t="shared" si="5"/>
        <v>99</v>
      </c>
      <c r="B102" s="24" t="s">
        <v>254</v>
      </c>
      <c r="C102" s="24" t="s">
        <v>255</v>
      </c>
      <c r="D102" s="24" t="s">
        <v>256</v>
      </c>
      <c r="E102" s="25">
        <v>10.0</v>
      </c>
      <c r="F102" s="39">
        <v>10.0</v>
      </c>
      <c r="G102" s="25">
        <f t="shared" si="1"/>
        <v>20</v>
      </c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26"/>
      <c r="X102" s="26"/>
      <c r="Y102" s="26"/>
      <c r="Z102" s="26"/>
      <c r="AA102" s="26"/>
      <c r="AB102" s="26"/>
      <c r="AC102" s="27">
        <v>10.0</v>
      </c>
      <c r="AD102" s="26"/>
      <c r="AE102" s="26"/>
      <c r="AF102" s="26"/>
      <c r="AG102" s="26"/>
      <c r="AH102" s="26"/>
      <c r="AI102" s="26"/>
      <c r="AJ102" s="26"/>
      <c r="AK102" s="25">
        <v>10.0</v>
      </c>
      <c r="AL102" s="28">
        <v>0.0</v>
      </c>
      <c r="AM102" s="25" t="s">
        <v>67</v>
      </c>
      <c r="AN102" s="25" t="s">
        <v>257</v>
      </c>
      <c r="AO102" s="25" t="s">
        <v>258</v>
      </c>
      <c r="AP102" s="25" t="s">
        <v>226</v>
      </c>
      <c r="AQ102" s="26"/>
      <c r="AR102" s="26"/>
      <c r="AS102" s="26"/>
      <c r="AT102" s="26"/>
      <c r="AU102" s="26"/>
      <c r="AV102" s="25" t="s">
        <v>259</v>
      </c>
    </row>
    <row r="103">
      <c r="A103" s="23">
        <f t="shared" si="5"/>
        <v>100</v>
      </c>
      <c r="B103" s="24" t="s">
        <v>254</v>
      </c>
      <c r="C103" s="24" t="s">
        <v>255</v>
      </c>
      <c r="D103" s="24" t="s">
        <v>260</v>
      </c>
      <c r="E103" s="25">
        <v>4.0</v>
      </c>
      <c r="F103" s="39">
        <v>0.0</v>
      </c>
      <c r="G103" s="25">
        <f t="shared" si="1"/>
        <v>4</v>
      </c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26"/>
      <c r="X103" s="26"/>
      <c r="Y103" s="26"/>
      <c r="Z103" s="26"/>
      <c r="AA103" s="26"/>
      <c r="AB103" s="26"/>
      <c r="AC103" s="27">
        <v>4.0</v>
      </c>
      <c r="AD103" s="26"/>
      <c r="AE103" s="26"/>
      <c r="AF103" s="26"/>
      <c r="AG103" s="26"/>
      <c r="AH103" s="26"/>
      <c r="AI103" s="26"/>
      <c r="AJ103" s="26"/>
      <c r="AK103" s="25">
        <v>4.0</v>
      </c>
      <c r="AL103" s="28">
        <v>0.0</v>
      </c>
      <c r="AM103" s="25" t="s">
        <v>67</v>
      </c>
      <c r="AN103" s="25" t="s">
        <v>261</v>
      </c>
      <c r="AO103" s="25" t="s">
        <v>262</v>
      </c>
      <c r="AP103" s="26"/>
      <c r="AQ103" s="26"/>
      <c r="AR103" s="26"/>
      <c r="AS103" s="26"/>
      <c r="AT103" s="26"/>
      <c r="AU103" s="26"/>
      <c r="AV103" s="26"/>
    </row>
    <row r="104">
      <c r="A104" s="23">
        <f t="shared" si="5"/>
        <v>101</v>
      </c>
      <c r="B104" s="24" t="s">
        <v>254</v>
      </c>
      <c r="C104" s="24" t="s">
        <v>255</v>
      </c>
      <c r="D104" s="24" t="s">
        <v>263</v>
      </c>
      <c r="E104" s="25">
        <v>19.0</v>
      </c>
      <c r="F104" s="39">
        <v>19.0</v>
      </c>
      <c r="G104" s="25">
        <f t="shared" si="1"/>
        <v>38</v>
      </c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26"/>
      <c r="X104" s="26"/>
      <c r="Y104" s="26"/>
      <c r="Z104" s="26"/>
      <c r="AA104" s="26"/>
      <c r="AB104" s="26"/>
      <c r="AC104" s="27">
        <v>19.0</v>
      </c>
      <c r="AD104" s="26"/>
      <c r="AE104" s="26"/>
      <c r="AF104" s="26"/>
      <c r="AG104" s="26"/>
      <c r="AH104" s="26"/>
      <c r="AI104" s="26"/>
      <c r="AJ104" s="26"/>
      <c r="AK104" s="25">
        <v>19.0</v>
      </c>
      <c r="AL104" s="28">
        <v>0.0</v>
      </c>
      <c r="AM104" s="25" t="s">
        <v>67</v>
      </c>
      <c r="AN104" s="25" t="s">
        <v>264</v>
      </c>
      <c r="AO104" s="25" t="s">
        <v>265</v>
      </c>
      <c r="AP104" s="26"/>
      <c r="AQ104" s="26"/>
      <c r="AR104" s="26"/>
      <c r="AS104" s="26"/>
      <c r="AT104" s="26"/>
      <c r="AU104" s="26"/>
      <c r="AV104" s="26"/>
    </row>
    <row r="105">
      <c r="A105" s="23">
        <f t="shared" si="5"/>
        <v>102</v>
      </c>
      <c r="B105" s="24" t="s">
        <v>266</v>
      </c>
      <c r="C105" s="24" t="s">
        <v>267</v>
      </c>
      <c r="D105" s="24" t="s">
        <v>268</v>
      </c>
      <c r="E105" s="25">
        <v>20.0</v>
      </c>
      <c r="F105" s="39">
        <v>0.0</v>
      </c>
      <c r="G105" s="25">
        <f t="shared" si="1"/>
        <v>20</v>
      </c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7">
        <v>20.0</v>
      </c>
      <c r="AK105" s="25">
        <v>20.0</v>
      </c>
      <c r="AL105" s="28">
        <v>0.0</v>
      </c>
      <c r="AM105" s="25" t="s">
        <v>67</v>
      </c>
      <c r="AN105" s="25" t="s">
        <v>269</v>
      </c>
      <c r="AO105" s="25" t="s">
        <v>270</v>
      </c>
      <c r="AP105" s="25" t="s">
        <v>226</v>
      </c>
      <c r="AQ105" s="26"/>
      <c r="AR105" s="26"/>
      <c r="AS105" s="26"/>
      <c r="AT105" s="26"/>
      <c r="AU105" s="26"/>
      <c r="AV105" s="25" t="s">
        <v>271</v>
      </c>
    </row>
    <row r="106">
      <c r="A106" s="23">
        <f t="shared" si="5"/>
        <v>103</v>
      </c>
      <c r="B106" s="24" t="s">
        <v>266</v>
      </c>
      <c r="C106" s="24" t="s">
        <v>267</v>
      </c>
      <c r="D106" s="24" t="s">
        <v>272</v>
      </c>
      <c r="E106" s="25">
        <v>36.0</v>
      </c>
      <c r="F106" s="42"/>
      <c r="G106" s="25">
        <f t="shared" si="1"/>
        <v>36</v>
      </c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7">
        <v>36.0</v>
      </c>
      <c r="AK106" s="25">
        <v>36.0</v>
      </c>
      <c r="AL106" s="28">
        <v>0.0</v>
      </c>
      <c r="AM106" s="25" t="s">
        <v>67</v>
      </c>
      <c r="AN106" s="25" t="s">
        <v>273</v>
      </c>
      <c r="AO106" s="25" t="s">
        <v>274</v>
      </c>
      <c r="AP106" s="26"/>
      <c r="AQ106" s="26"/>
      <c r="AR106" s="26"/>
      <c r="AS106" s="26"/>
      <c r="AT106" s="26"/>
      <c r="AU106" s="26"/>
      <c r="AV106" s="26"/>
    </row>
    <row r="107">
      <c r="A107" s="23">
        <f t="shared" si="5"/>
        <v>104</v>
      </c>
      <c r="B107" s="24" t="s">
        <v>275</v>
      </c>
      <c r="C107" s="24" t="s">
        <v>276</v>
      </c>
      <c r="D107" s="24" t="s">
        <v>277</v>
      </c>
      <c r="E107" s="25">
        <v>0.0</v>
      </c>
      <c r="F107" s="42"/>
      <c r="G107" s="25">
        <f t="shared" si="1"/>
        <v>0</v>
      </c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5">
        <v>0.0</v>
      </c>
      <c r="AL107" s="28">
        <v>0.0</v>
      </c>
      <c r="AM107" s="25" t="s">
        <v>67</v>
      </c>
      <c r="AN107" s="25" t="s">
        <v>278</v>
      </c>
      <c r="AO107" s="29">
        <v>0.0</v>
      </c>
      <c r="AP107" s="26"/>
      <c r="AQ107" s="26"/>
      <c r="AR107" s="26"/>
      <c r="AS107" s="26"/>
      <c r="AT107" s="26"/>
      <c r="AU107" s="26"/>
      <c r="AV107" s="26"/>
    </row>
    <row r="108">
      <c r="A108" s="23">
        <f t="shared" si="5"/>
        <v>105</v>
      </c>
      <c r="B108" s="24" t="s">
        <v>275</v>
      </c>
      <c r="C108" s="24" t="s">
        <v>276</v>
      </c>
      <c r="D108" s="24" t="s">
        <v>279</v>
      </c>
      <c r="E108" s="25">
        <v>86.0</v>
      </c>
      <c r="F108" s="39">
        <v>86.0</v>
      </c>
      <c r="G108" s="25">
        <f t="shared" si="1"/>
        <v>172</v>
      </c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26"/>
      <c r="X108" s="26"/>
      <c r="Y108" s="26"/>
      <c r="Z108" s="26"/>
      <c r="AA108" s="26"/>
      <c r="AB108" s="27">
        <v>86.0</v>
      </c>
      <c r="AC108" s="26"/>
      <c r="AD108" s="26"/>
      <c r="AE108" s="26"/>
      <c r="AF108" s="26"/>
      <c r="AG108" s="26"/>
      <c r="AH108" s="26"/>
      <c r="AI108" s="26"/>
      <c r="AJ108" s="26"/>
      <c r="AK108" s="25">
        <v>86.0</v>
      </c>
      <c r="AL108" s="28">
        <v>0.0</v>
      </c>
      <c r="AM108" s="25" t="s">
        <v>67</v>
      </c>
      <c r="AN108" s="25" t="s">
        <v>280</v>
      </c>
      <c r="AO108" s="25" t="s">
        <v>281</v>
      </c>
      <c r="AP108" s="26"/>
      <c r="AQ108" s="26"/>
      <c r="AR108" s="26"/>
      <c r="AS108" s="26"/>
      <c r="AT108" s="26"/>
      <c r="AU108" s="26"/>
      <c r="AV108" s="26"/>
    </row>
    <row r="109">
      <c r="A109" s="23">
        <f t="shared" si="5"/>
        <v>106</v>
      </c>
      <c r="B109" s="24" t="s">
        <v>275</v>
      </c>
      <c r="C109" s="24" t="s">
        <v>282</v>
      </c>
      <c r="D109" s="24" t="s">
        <v>277</v>
      </c>
      <c r="E109" s="25">
        <v>6.0</v>
      </c>
      <c r="F109" s="39">
        <v>6.0</v>
      </c>
      <c r="G109" s="25">
        <f t="shared" si="1"/>
        <v>12</v>
      </c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26"/>
      <c r="X109" s="26"/>
      <c r="Y109" s="26"/>
      <c r="Z109" s="26"/>
      <c r="AA109" s="26"/>
      <c r="AB109" s="27">
        <v>6.0</v>
      </c>
      <c r="AC109" s="26"/>
      <c r="AD109" s="26"/>
      <c r="AE109" s="26"/>
      <c r="AF109" s="26"/>
      <c r="AG109" s="26"/>
      <c r="AH109" s="26"/>
      <c r="AI109" s="26"/>
      <c r="AJ109" s="26"/>
      <c r="AK109" s="25">
        <v>6.0</v>
      </c>
      <c r="AL109" s="28">
        <v>0.0</v>
      </c>
      <c r="AM109" s="25" t="s">
        <v>67</v>
      </c>
      <c r="AN109" s="25" t="s">
        <v>278</v>
      </c>
      <c r="AO109" s="25" t="s">
        <v>283</v>
      </c>
      <c r="AP109" s="25" t="s">
        <v>226</v>
      </c>
      <c r="AQ109" s="26"/>
      <c r="AR109" s="26"/>
      <c r="AS109" s="26"/>
      <c r="AT109" s="26"/>
      <c r="AU109" s="26"/>
      <c r="AV109" s="25" t="s">
        <v>284</v>
      </c>
    </row>
    <row r="110">
      <c r="A110" s="23">
        <f t="shared" si="5"/>
        <v>107</v>
      </c>
      <c r="B110" s="24" t="s">
        <v>285</v>
      </c>
      <c r="C110" s="24" t="s">
        <v>286</v>
      </c>
      <c r="D110" s="24" t="s">
        <v>287</v>
      </c>
      <c r="E110" s="25">
        <v>18.0</v>
      </c>
      <c r="F110" s="42"/>
      <c r="G110" s="25">
        <f t="shared" si="1"/>
        <v>18</v>
      </c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26"/>
      <c r="X110" s="26"/>
      <c r="Y110" s="26"/>
      <c r="Z110" s="26"/>
      <c r="AA110" s="26"/>
      <c r="AB110" s="27">
        <v>18.0</v>
      </c>
      <c r="AC110" s="26"/>
      <c r="AD110" s="26"/>
      <c r="AE110" s="26"/>
      <c r="AF110" s="26"/>
      <c r="AG110" s="26"/>
      <c r="AH110" s="26"/>
      <c r="AI110" s="26"/>
      <c r="AJ110" s="26"/>
      <c r="AK110" s="25">
        <v>18.0</v>
      </c>
      <c r="AL110" s="28">
        <v>0.0</v>
      </c>
      <c r="AM110" s="25" t="s">
        <v>67</v>
      </c>
      <c r="AN110" s="25" t="s">
        <v>288</v>
      </c>
      <c r="AO110" s="25" t="s">
        <v>289</v>
      </c>
      <c r="AP110" s="25" t="s">
        <v>226</v>
      </c>
      <c r="AQ110" s="26"/>
      <c r="AR110" s="26"/>
      <c r="AS110" s="26"/>
      <c r="AT110" s="26"/>
      <c r="AU110" s="26"/>
      <c r="AV110" s="25" t="s">
        <v>290</v>
      </c>
    </row>
    <row r="111">
      <c r="A111" s="23">
        <f t="shared" si="5"/>
        <v>108</v>
      </c>
      <c r="B111" s="24" t="s">
        <v>285</v>
      </c>
      <c r="C111" s="24" t="s">
        <v>286</v>
      </c>
      <c r="D111" s="24" t="s">
        <v>291</v>
      </c>
      <c r="E111" s="25">
        <v>37.0</v>
      </c>
      <c r="F111" s="42"/>
      <c r="G111" s="25">
        <f t="shared" si="1"/>
        <v>37</v>
      </c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26"/>
      <c r="X111" s="26"/>
      <c r="Y111" s="26"/>
      <c r="Z111" s="26"/>
      <c r="AA111" s="26"/>
      <c r="AB111" s="27">
        <v>37.0</v>
      </c>
      <c r="AC111" s="26"/>
      <c r="AD111" s="26"/>
      <c r="AE111" s="26"/>
      <c r="AF111" s="26"/>
      <c r="AG111" s="26"/>
      <c r="AH111" s="26"/>
      <c r="AI111" s="26"/>
      <c r="AJ111" s="26"/>
      <c r="AK111" s="25">
        <v>37.0</v>
      </c>
      <c r="AL111" s="28">
        <v>0.0</v>
      </c>
      <c r="AM111" s="25" t="s">
        <v>67</v>
      </c>
      <c r="AN111" s="25" t="s">
        <v>292</v>
      </c>
      <c r="AO111" s="25" t="s">
        <v>293</v>
      </c>
      <c r="AP111" s="26"/>
      <c r="AQ111" s="26"/>
      <c r="AR111" s="26"/>
      <c r="AS111" s="26"/>
      <c r="AT111" s="26"/>
      <c r="AU111" s="26"/>
      <c r="AV111" s="26"/>
    </row>
    <row r="112">
      <c r="A112" s="23">
        <f t="shared" si="5"/>
        <v>109</v>
      </c>
      <c r="B112" s="24" t="s">
        <v>294</v>
      </c>
      <c r="C112" s="24" t="s">
        <v>295</v>
      </c>
      <c r="D112" s="24" t="s">
        <v>296</v>
      </c>
      <c r="E112" s="25">
        <v>192.0</v>
      </c>
      <c r="F112" s="42"/>
      <c r="G112" s="25">
        <f t="shared" si="1"/>
        <v>192</v>
      </c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26"/>
      <c r="X112" s="26"/>
      <c r="Y112" s="26"/>
      <c r="Z112" s="26"/>
      <c r="AA112" s="26"/>
      <c r="AB112" s="27">
        <v>192.0</v>
      </c>
      <c r="AC112" s="26"/>
      <c r="AD112" s="26"/>
      <c r="AE112" s="26"/>
      <c r="AF112" s="26"/>
      <c r="AG112" s="26"/>
      <c r="AH112" s="26"/>
      <c r="AI112" s="26"/>
      <c r="AJ112" s="26"/>
      <c r="AK112" s="25">
        <v>192.0</v>
      </c>
      <c r="AL112" s="28">
        <v>0.0</v>
      </c>
      <c r="AM112" s="25" t="s">
        <v>67</v>
      </c>
      <c r="AN112" s="25" t="s">
        <v>297</v>
      </c>
      <c r="AO112" s="25" t="s">
        <v>298</v>
      </c>
      <c r="AP112" s="25" t="s">
        <v>242</v>
      </c>
      <c r="AQ112" s="26"/>
      <c r="AR112" s="26"/>
      <c r="AS112" s="25" t="s">
        <v>299</v>
      </c>
      <c r="AT112" s="26"/>
      <c r="AU112" s="26"/>
      <c r="AV112" s="26"/>
    </row>
    <row r="113">
      <c r="A113" s="23">
        <f t="shared" si="5"/>
        <v>110</v>
      </c>
      <c r="B113" s="24" t="s">
        <v>294</v>
      </c>
      <c r="C113" s="24" t="s">
        <v>295</v>
      </c>
      <c r="D113" s="24" t="s">
        <v>300</v>
      </c>
      <c r="E113" s="25">
        <v>192.0</v>
      </c>
      <c r="F113" s="42"/>
      <c r="G113" s="25">
        <f t="shared" si="1"/>
        <v>192</v>
      </c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26"/>
      <c r="X113" s="26"/>
      <c r="Y113" s="26"/>
      <c r="Z113" s="26"/>
      <c r="AA113" s="26"/>
      <c r="AB113" s="27">
        <v>192.0</v>
      </c>
      <c r="AC113" s="26"/>
      <c r="AD113" s="26"/>
      <c r="AE113" s="26"/>
      <c r="AF113" s="26"/>
      <c r="AG113" s="26"/>
      <c r="AH113" s="26"/>
      <c r="AI113" s="26"/>
      <c r="AJ113" s="26"/>
      <c r="AK113" s="25">
        <v>192.0</v>
      </c>
      <c r="AL113" s="28">
        <v>0.0</v>
      </c>
      <c r="AM113" s="25" t="s">
        <v>67</v>
      </c>
      <c r="AN113" s="25" t="s">
        <v>301</v>
      </c>
      <c r="AO113" s="25" t="s">
        <v>302</v>
      </c>
      <c r="AP113" s="25" t="s">
        <v>242</v>
      </c>
      <c r="AQ113" s="26"/>
      <c r="AR113" s="26"/>
      <c r="AS113" s="25" t="s">
        <v>299</v>
      </c>
      <c r="AT113" s="26"/>
      <c r="AU113" s="26"/>
      <c r="AV113" s="26"/>
    </row>
    <row r="114">
      <c r="A114" s="23">
        <f t="shared" si="5"/>
        <v>111</v>
      </c>
      <c r="B114" s="24" t="s">
        <v>294</v>
      </c>
      <c r="C114" s="24" t="s">
        <v>295</v>
      </c>
      <c r="D114" s="24" t="s">
        <v>109</v>
      </c>
      <c r="E114" s="25">
        <v>192.0</v>
      </c>
      <c r="F114" s="42"/>
      <c r="G114" s="25">
        <f t="shared" si="1"/>
        <v>192</v>
      </c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26"/>
      <c r="X114" s="26"/>
      <c r="Y114" s="26"/>
      <c r="Z114" s="26"/>
      <c r="AA114" s="26"/>
      <c r="AB114" s="27">
        <v>192.0</v>
      </c>
      <c r="AC114" s="26"/>
      <c r="AD114" s="26"/>
      <c r="AE114" s="26"/>
      <c r="AF114" s="26"/>
      <c r="AG114" s="26"/>
      <c r="AH114" s="26"/>
      <c r="AI114" s="26"/>
      <c r="AJ114" s="26"/>
      <c r="AK114" s="25">
        <v>192.0</v>
      </c>
      <c r="AL114" s="28">
        <v>0.0</v>
      </c>
      <c r="AM114" s="25" t="s">
        <v>67</v>
      </c>
      <c r="AN114" s="25" t="s">
        <v>303</v>
      </c>
      <c r="AO114" s="25" t="s">
        <v>304</v>
      </c>
      <c r="AP114" s="25" t="s">
        <v>242</v>
      </c>
      <c r="AQ114" s="26"/>
      <c r="AR114" s="26"/>
      <c r="AS114" s="25" t="s">
        <v>299</v>
      </c>
      <c r="AT114" s="26"/>
      <c r="AU114" s="26"/>
      <c r="AV114" s="26"/>
    </row>
    <row r="115">
      <c r="A115" s="23">
        <f t="shared" si="5"/>
        <v>112</v>
      </c>
      <c r="B115" s="24" t="s">
        <v>305</v>
      </c>
      <c r="C115" s="24" t="s">
        <v>306</v>
      </c>
      <c r="D115" s="24" t="s">
        <v>307</v>
      </c>
      <c r="E115" s="25">
        <v>0.0</v>
      </c>
      <c r="F115" s="42"/>
      <c r="G115" s="25">
        <f t="shared" si="1"/>
        <v>0</v>
      </c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5">
        <v>0.0</v>
      </c>
      <c r="AL115" s="28">
        <v>0.0</v>
      </c>
      <c r="AM115" s="25" t="s">
        <v>67</v>
      </c>
      <c r="AN115" s="25" t="s">
        <v>308</v>
      </c>
      <c r="AO115" s="29">
        <v>0.0</v>
      </c>
      <c r="AP115" s="26"/>
      <c r="AQ115" s="26"/>
      <c r="AR115" s="26"/>
      <c r="AS115" s="26"/>
      <c r="AT115" s="26"/>
      <c r="AU115" s="26"/>
      <c r="AV115" s="26"/>
    </row>
    <row r="116">
      <c r="A116" s="23">
        <f t="shared" si="5"/>
        <v>113</v>
      </c>
      <c r="B116" s="24" t="s">
        <v>305</v>
      </c>
      <c r="C116" s="24" t="s">
        <v>306</v>
      </c>
      <c r="D116" s="24" t="s">
        <v>309</v>
      </c>
      <c r="E116" s="25">
        <v>0.0</v>
      </c>
      <c r="F116" s="42"/>
      <c r="G116" s="25">
        <f t="shared" si="1"/>
        <v>0</v>
      </c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5">
        <v>0.0</v>
      </c>
      <c r="AL116" s="28">
        <v>0.0</v>
      </c>
      <c r="AM116" s="25" t="s">
        <v>67</v>
      </c>
      <c r="AN116" s="25" t="s">
        <v>310</v>
      </c>
      <c r="AO116" s="29">
        <v>0.0</v>
      </c>
      <c r="AP116" s="26"/>
      <c r="AQ116" s="26"/>
      <c r="AR116" s="26"/>
      <c r="AS116" s="26"/>
      <c r="AT116" s="26"/>
      <c r="AU116" s="26"/>
      <c r="AV116" s="26"/>
    </row>
    <row r="117">
      <c r="A117" s="23">
        <f t="shared" si="5"/>
        <v>114</v>
      </c>
      <c r="B117" s="24" t="s">
        <v>311</v>
      </c>
      <c r="C117" s="24" t="s">
        <v>312</v>
      </c>
      <c r="D117" s="24" t="s">
        <v>313</v>
      </c>
      <c r="E117" s="25">
        <v>31.0</v>
      </c>
      <c r="F117" s="42"/>
      <c r="G117" s="25">
        <f t="shared" si="1"/>
        <v>31</v>
      </c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26"/>
      <c r="X117" s="26"/>
      <c r="Y117" s="26"/>
      <c r="Z117" s="27">
        <v>31.0</v>
      </c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5">
        <v>31.0</v>
      </c>
      <c r="AL117" s="28">
        <v>0.0</v>
      </c>
      <c r="AM117" s="25" t="s">
        <v>67</v>
      </c>
      <c r="AN117" s="25" t="s">
        <v>314</v>
      </c>
      <c r="AO117" s="25" t="s">
        <v>315</v>
      </c>
      <c r="AP117" s="25" t="s">
        <v>190</v>
      </c>
      <c r="AQ117" s="25" t="s">
        <v>316</v>
      </c>
      <c r="AR117" s="26"/>
      <c r="AS117" s="26"/>
      <c r="AT117" s="26"/>
      <c r="AU117" s="26"/>
      <c r="AV117" s="26"/>
    </row>
    <row r="118">
      <c r="A118" s="23">
        <f t="shared" si="5"/>
        <v>115</v>
      </c>
      <c r="B118" s="24" t="s">
        <v>311</v>
      </c>
      <c r="C118" s="24" t="s">
        <v>312</v>
      </c>
      <c r="D118" s="24" t="s">
        <v>317</v>
      </c>
      <c r="E118" s="25">
        <v>16.0</v>
      </c>
      <c r="F118" s="42"/>
      <c r="G118" s="25">
        <f t="shared" si="1"/>
        <v>16</v>
      </c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26"/>
      <c r="X118" s="26"/>
      <c r="Y118" s="26"/>
      <c r="Z118" s="27">
        <v>16.0</v>
      </c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5">
        <v>16.0</v>
      </c>
      <c r="AL118" s="28">
        <v>0.0</v>
      </c>
      <c r="AM118" s="25" t="s">
        <v>67</v>
      </c>
      <c r="AN118" s="25" t="s">
        <v>318</v>
      </c>
      <c r="AO118" s="25" t="s">
        <v>319</v>
      </c>
      <c r="AP118" s="25" t="s">
        <v>190</v>
      </c>
      <c r="AQ118" s="25" t="s">
        <v>320</v>
      </c>
      <c r="AR118" s="26"/>
      <c r="AS118" s="26"/>
      <c r="AT118" s="26"/>
      <c r="AU118" s="26"/>
      <c r="AV118" s="26"/>
    </row>
    <row r="119">
      <c r="A119" s="23">
        <f t="shared" si="5"/>
        <v>116</v>
      </c>
      <c r="B119" s="24" t="s">
        <v>311</v>
      </c>
      <c r="C119" s="24" t="s">
        <v>312</v>
      </c>
      <c r="D119" s="24" t="s">
        <v>321</v>
      </c>
      <c r="E119" s="25">
        <v>16.0</v>
      </c>
      <c r="F119" s="42"/>
      <c r="G119" s="25">
        <f t="shared" si="1"/>
        <v>16</v>
      </c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26"/>
      <c r="X119" s="26"/>
      <c r="Y119" s="26"/>
      <c r="Z119" s="27">
        <v>16.0</v>
      </c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5">
        <v>16.0</v>
      </c>
      <c r="AL119" s="28">
        <v>0.0</v>
      </c>
      <c r="AM119" s="25" t="s">
        <v>67</v>
      </c>
      <c r="AN119" s="25" t="s">
        <v>322</v>
      </c>
      <c r="AO119" s="25" t="s">
        <v>323</v>
      </c>
      <c r="AP119" s="25" t="s">
        <v>190</v>
      </c>
      <c r="AQ119" s="25" t="s">
        <v>320</v>
      </c>
      <c r="AR119" s="26"/>
      <c r="AS119" s="26"/>
      <c r="AT119" s="26"/>
      <c r="AU119" s="26"/>
      <c r="AV119" s="26"/>
    </row>
    <row r="120">
      <c r="A120" s="23">
        <f t="shared" si="5"/>
        <v>117</v>
      </c>
      <c r="B120" s="24" t="s">
        <v>311</v>
      </c>
      <c r="C120" s="24" t="s">
        <v>312</v>
      </c>
      <c r="D120" s="24" t="s">
        <v>324</v>
      </c>
      <c r="E120" s="25">
        <v>16.0</v>
      </c>
      <c r="F120" s="42"/>
      <c r="G120" s="25">
        <f t="shared" si="1"/>
        <v>16</v>
      </c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26"/>
      <c r="X120" s="26"/>
      <c r="Y120" s="26"/>
      <c r="Z120" s="27">
        <v>16.0</v>
      </c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5">
        <v>16.0</v>
      </c>
      <c r="AL120" s="28">
        <v>0.0</v>
      </c>
      <c r="AM120" s="25" t="s">
        <v>67</v>
      </c>
      <c r="AN120" s="25" t="s">
        <v>325</v>
      </c>
      <c r="AO120" s="25" t="s">
        <v>326</v>
      </c>
      <c r="AP120" s="25" t="s">
        <v>190</v>
      </c>
      <c r="AQ120" s="25" t="s">
        <v>320</v>
      </c>
      <c r="AR120" s="26"/>
      <c r="AS120" s="26"/>
      <c r="AT120" s="26"/>
      <c r="AU120" s="26"/>
      <c r="AV120" s="26"/>
    </row>
    <row r="121">
      <c r="A121" s="23">
        <f t="shared" si="5"/>
        <v>118</v>
      </c>
      <c r="B121" s="24" t="s">
        <v>311</v>
      </c>
      <c r="C121" s="24" t="s">
        <v>312</v>
      </c>
      <c r="D121" s="24" t="s">
        <v>109</v>
      </c>
      <c r="E121" s="25">
        <v>138.0</v>
      </c>
      <c r="F121" s="42"/>
      <c r="G121" s="25">
        <f t="shared" si="1"/>
        <v>138</v>
      </c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26"/>
      <c r="X121" s="26"/>
      <c r="Y121" s="26"/>
      <c r="Z121" s="26"/>
      <c r="AA121" s="26"/>
      <c r="AB121" s="27">
        <v>102.0</v>
      </c>
      <c r="AC121" s="26"/>
      <c r="AD121" s="26"/>
      <c r="AE121" s="26"/>
      <c r="AF121" s="26"/>
      <c r="AG121" s="26"/>
      <c r="AH121" s="26"/>
      <c r="AI121" s="26"/>
      <c r="AJ121" s="26"/>
      <c r="AK121" s="25">
        <v>102.0</v>
      </c>
      <c r="AL121" s="28">
        <v>0.0</v>
      </c>
      <c r="AM121" s="25" t="s">
        <v>67</v>
      </c>
      <c r="AN121" s="25" t="s">
        <v>303</v>
      </c>
      <c r="AO121" s="25" t="s">
        <v>327</v>
      </c>
      <c r="AP121" s="25" t="s">
        <v>190</v>
      </c>
      <c r="AQ121" s="25" t="s">
        <v>328</v>
      </c>
      <c r="AR121" s="26"/>
      <c r="AS121" s="26"/>
      <c r="AT121" s="26"/>
      <c r="AU121" s="26"/>
      <c r="AV121" s="26"/>
    </row>
    <row r="122">
      <c r="A122" s="23">
        <f t="shared" si="5"/>
        <v>119</v>
      </c>
      <c r="B122" s="24" t="s">
        <v>311</v>
      </c>
      <c r="C122" s="24" t="s">
        <v>312</v>
      </c>
      <c r="D122" s="24" t="s">
        <v>110</v>
      </c>
      <c r="E122" s="25">
        <v>324.0</v>
      </c>
      <c r="F122" s="42"/>
      <c r="G122" s="25">
        <f t="shared" si="1"/>
        <v>324</v>
      </c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26"/>
      <c r="X122" s="26"/>
      <c r="Y122" s="26"/>
      <c r="Z122" s="26"/>
      <c r="AA122" s="26"/>
      <c r="AB122" s="27">
        <v>324.0</v>
      </c>
      <c r="AC122" s="26"/>
      <c r="AD122" s="26"/>
      <c r="AE122" s="26"/>
      <c r="AF122" s="26"/>
      <c r="AG122" s="26"/>
      <c r="AH122" s="26"/>
      <c r="AI122" s="26"/>
      <c r="AJ122" s="26"/>
      <c r="AK122" s="25">
        <v>324.0</v>
      </c>
      <c r="AL122" s="28">
        <v>0.0</v>
      </c>
      <c r="AM122" s="25" t="s">
        <v>67</v>
      </c>
      <c r="AN122" s="25" t="s">
        <v>329</v>
      </c>
      <c r="AO122" s="25" t="s">
        <v>330</v>
      </c>
      <c r="AP122" s="25" t="s">
        <v>190</v>
      </c>
      <c r="AQ122" s="25" t="s">
        <v>331</v>
      </c>
      <c r="AR122" s="26"/>
      <c r="AS122" s="26"/>
      <c r="AT122" s="26"/>
      <c r="AU122" s="26"/>
      <c r="AV122" s="26"/>
    </row>
    <row r="123">
      <c r="A123" s="23">
        <f t="shared" si="5"/>
        <v>120</v>
      </c>
      <c r="B123" s="24" t="s">
        <v>311</v>
      </c>
      <c r="C123" s="24" t="s">
        <v>312</v>
      </c>
      <c r="D123" s="24" t="s">
        <v>108</v>
      </c>
      <c r="E123" s="25">
        <v>376.0</v>
      </c>
      <c r="F123" s="42"/>
      <c r="G123" s="25">
        <f t="shared" si="1"/>
        <v>376</v>
      </c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26"/>
      <c r="X123" s="26"/>
      <c r="Y123" s="26"/>
      <c r="Z123" s="26"/>
      <c r="AA123" s="26"/>
      <c r="AB123" s="26"/>
      <c r="AC123" s="27">
        <v>335.0</v>
      </c>
      <c r="AD123" s="26"/>
      <c r="AE123" s="26"/>
      <c r="AF123" s="26"/>
      <c r="AG123" s="26"/>
      <c r="AH123" s="26"/>
      <c r="AI123" s="26"/>
      <c r="AJ123" s="26"/>
      <c r="AK123" s="25">
        <v>335.0</v>
      </c>
      <c r="AL123" s="28">
        <v>0.0</v>
      </c>
      <c r="AM123" s="25" t="s">
        <v>67</v>
      </c>
      <c r="AN123" s="25" t="s">
        <v>332</v>
      </c>
      <c r="AO123" s="25" t="s">
        <v>333</v>
      </c>
      <c r="AP123" s="25" t="s">
        <v>190</v>
      </c>
      <c r="AQ123" s="25" t="s">
        <v>334</v>
      </c>
      <c r="AR123" s="26"/>
      <c r="AS123" s="26"/>
      <c r="AT123" s="26"/>
      <c r="AU123" s="26"/>
      <c r="AV123" s="26"/>
    </row>
    <row r="124">
      <c r="A124" s="23">
        <f t="shared" si="5"/>
        <v>121</v>
      </c>
      <c r="B124" s="24" t="s">
        <v>311</v>
      </c>
      <c r="C124" s="24" t="s">
        <v>312</v>
      </c>
      <c r="D124" s="24" t="s">
        <v>111</v>
      </c>
      <c r="E124" s="25">
        <v>434.0</v>
      </c>
      <c r="F124" s="42"/>
      <c r="G124" s="25">
        <f t="shared" si="1"/>
        <v>434</v>
      </c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26"/>
      <c r="X124" s="26"/>
      <c r="Y124" s="26"/>
      <c r="Z124" s="26"/>
      <c r="AA124" s="26"/>
      <c r="AB124" s="26"/>
      <c r="AC124" s="27">
        <v>425.0</v>
      </c>
      <c r="AD124" s="26"/>
      <c r="AE124" s="26"/>
      <c r="AF124" s="26"/>
      <c r="AG124" s="26"/>
      <c r="AH124" s="26"/>
      <c r="AI124" s="26"/>
      <c r="AJ124" s="26"/>
      <c r="AK124" s="25">
        <v>425.0</v>
      </c>
      <c r="AL124" s="28">
        <v>0.0</v>
      </c>
      <c r="AM124" s="25" t="s">
        <v>67</v>
      </c>
      <c r="AN124" s="25" t="s">
        <v>335</v>
      </c>
      <c r="AO124" s="25" t="s">
        <v>336</v>
      </c>
      <c r="AP124" s="25" t="s">
        <v>190</v>
      </c>
      <c r="AQ124" s="25" t="s">
        <v>337</v>
      </c>
      <c r="AR124" s="26"/>
      <c r="AS124" s="26"/>
      <c r="AT124" s="26"/>
      <c r="AU124" s="26"/>
      <c r="AV124" s="26"/>
    </row>
    <row r="125">
      <c r="A125" s="23">
        <f t="shared" si="5"/>
        <v>122</v>
      </c>
      <c r="B125" s="24" t="s">
        <v>338</v>
      </c>
      <c r="C125" s="24" t="s">
        <v>114</v>
      </c>
      <c r="D125" s="24" t="s">
        <v>339</v>
      </c>
      <c r="E125" s="25">
        <v>126.0</v>
      </c>
      <c r="F125" s="42"/>
      <c r="G125" s="25">
        <f t="shared" si="1"/>
        <v>126</v>
      </c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7">
        <v>126.0</v>
      </c>
      <c r="AH125" s="26"/>
      <c r="AI125" s="26"/>
      <c r="AJ125" s="26"/>
      <c r="AK125" s="25">
        <v>126.0</v>
      </c>
      <c r="AL125" s="28">
        <v>0.0</v>
      </c>
      <c r="AM125" s="25" t="s">
        <v>67</v>
      </c>
      <c r="AN125" s="25" t="s">
        <v>340</v>
      </c>
      <c r="AO125" s="25" t="s">
        <v>341</v>
      </c>
      <c r="AP125" s="25" t="s">
        <v>190</v>
      </c>
      <c r="AQ125" s="25" t="s">
        <v>342</v>
      </c>
      <c r="AR125" s="26"/>
      <c r="AS125" s="26"/>
      <c r="AT125" s="26"/>
      <c r="AU125" s="26"/>
      <c r="AV125" s="26"/>
    </row>
    <row r="126">
      <c r="A126" s="23">
        <f t="shared" si="5"/>
        <v>123</v>
      </c>
      <c r="B126" s="24" t="s">
        <v>338</v>
      </c>
      <c r="C126" s="24" t="s">
        <v>114</v>
      </c>
      <c r="D126" s="24" t="s">
        <v>343</v>
      </c>
      <c r="E126" s="25">
        <v>98.0</v>
      </c>
      <c r="F126" s="42"/>
      <c r="G126" s="25">
        <f t="shared" si="1"/>
        <v>98</v>
      </c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7">
        <v>98.0</v>
      </c>
      <c r="AH126" s="26"/>
      <c r="AI126" s="26"/>
      <c r="AJ126" s="26"/>
      <c r="AK126" s="25">
        <v>98.0</v>
      </c>
      <c r="AL126" s="28">
        <v>0.0</v>
      </c>
      <c r="AM126" s="25" t="s">
        <v>67</v>
      </c>
      <c r="AN126" s="25" t="s">
        <v>344</v>
      </c>
      <c r="AO126" s="25" t="s">
        <v>345</v>
      </c>
      <c r="AP126" s="25" t="s">
        <v>190</v>
      </c>
      <c r="AQ126" s="25" t="s">
        <v>346</v>
      </c>
      <c r="AR126" s="26"/>
      <c r="AS126" s="26"/>
      <c r="AT126" s="26"/>
      <c r="AU126" s="26"/>
      <c r="AV126" s="26"/>
    </row>
    <row r="127">
      <c r="A127" s="23">
        <f t="shared" si="5"/>
        <v>124</v>
      </c>
      <c r="B127" s="24" t="s">
        <v>338</v>
      </c>
      <c r="C127" s="24" t="s">
        <v>114</v>
      </c>
      <c r="D127" s="24" t="s">
        <v>347</v>
      </c>
      <c r="E127" s="25">
        <v>225.0</v>
      </c>
      <c r="F127" s="42"/>
      <c r="G127" s="25">
        <f t="shared" si="1"/>
        <v>225</v>
      </c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7">
        <v>225.0</v>
      </c>
      <c r="AH127" s="26"/>
      <c r="AI127" s="26"/>
      <c r="AJ127" s="26"/>
      <c r="AK127" s="25">
        <v>225.0</v>
      </c>
      <c r="AL127" s="28">
        <v>0.0</v>
      </c>
      <c r="AM127" s="25" t="s">
        <v>67</v>
      </c>
      <c r="AN127" s="25" t="s">
        <v>348</v>
      </c>
      <c r="AO127" s="25" t="s">
        <v>349</v>
      </c>
      <c r="AP127" s="25" t="s">
        <v>190</v>
      </c>
      <c r="AQ127" s="25" t="s">
        <v>350</v>
      </c>
      <c r="AR127" s="26"/>
      <c r="AS127" s="26"/>
      <c r="AT127" s="26"/>
      <c r="AU127" s="26"/>
      <c r="AV127" s="26"/>
    </row>
    <row r="128">
      <c r="A128" s="23">
        <f t="shared" si="5"/>
        <v>125</v>
      </c>
      <c r="B128" s="24" t="s">
        <v>338</v>
      </c>
      <c r="C128" s="24" t="s">
        <v>114</v>
      </c>
      <c r="D128" s="24" t="s">
        <v>351</v>
      </c>
      <c r="E128" s="25">
        <v>117.0</v>
      </c>
      <c r="F128" s="42"/>
      <c r="G128" s="25">
        <f t="shared" si="1"/>
        <v>117</v>
      </c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7">
        <v>117.0</v>
      </c>
      <c r="AH128" s="26"/>
      <c r="AI128" s="26"/>
      <c r="AJ128" s="26"/>
      <c r="AK128" s="25">
        <v>117.0</v>
      </c>
      <c r="AL128" s="28">
        <v>0.0</v>
      </c>
      <c r="AM128" s="25" t="s">
        <v>67</v>
      </c>
      <c r="AN128" s="25" t="s">
        <v>352</v>
      </c>
      <c r="AO128" s="25" t="s">
        <v>353</v>
      </c>
      <c r="AP128" s="25" t="s">
        <v>190</v>
      </c>
      <c r="AQ128" s="25" t="s">
        <v>209</v>
      </c>
      <c r="AR128" s="26"/>
      <c r="AS128" s="26"/>
      <c r="AT128" s="26"/>
      <c r="AU128" s="26"/>
      <c r="AV128" s="26"/>
    </row>
    <row r="129">
      <c r="A129" s="23">
        <f t="shared" si="5"/>
        <v>126</v>
      </c>
      <c r="B129" s="24" t="s">
        <v>338</v>
      </c>
      <c r="C129" s="24" t="s">
        <v>114</v>
      </c>
      <c r="D129" s="24" t="s">
        <v>354</v>
      </c>
      <c r="E129" s="25">
        <v>223.0</v>
      </c>
      <c r="F129" s="42"/>
      <c r="G129" s="25">
        <f t="shared" si="1"/>
        <v>223</v>
      </c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7">
        <v>223.0</v>
      </c>
      <c r="AI129" s="26"/>
      <c r="AJ129" s="26"/>
      <c r="AK129" s="25">
        <v>223.0</v>
      </c>
      <c r="AL129" s="28">
        <v>0.0</v>
      </c>
      <c r="AM129" s="25" t="s">
        <v>67</v>
      </c>
      <c r="AN129" s="25" t="s">
        <v>355</v>
      </c>
      <c r="AO129" s="25" t="s">
        <v>356</v>
      </c>
      <c r="AP129" s="25" t="s">
        <v>190</v>
      </c>
      <c r="AQ129" s="25" t="s">
        <v>357</v>
      </c>
      <c r="AR129" s="26"/>
      <c r="AS129" s="26"/>
      <c r="AT129" s="26"/>
      <c r="AU129" s="26"/>
      <c r="AV129" s="26"/>
    </row>
    <row r="130">
      <c r="A130" s="23">
        <f t="shared" si="5"/>
        <v>127</v>
      </c>
      <c r="B130" s="24" t="s">
        <v>338</v>
      </c>
      <c r="C130" s="24" t="s">
        <v>114</v>
      </c>
      <c r="D130" s="24" t="s">
        <v>358</v>
      </c>
      <c r="E130" s="25">
        <v>1106.0</v>
      </c>
      <c r="F130" s="42"/>
      <c r="G130" s="25">
        <f t="shared" si="1"/>
        <v>1106</v>
      </c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7">
        <v>500.0</v>
      </c>
      <c r="AI130" s="27">
        <v>413.0</v>
      </c>
      <c r="AJ130" s="27">
        <v>200.0</v>
      </c>
      <c r="AK130" s="25">
        <v>1113.0</v>
      </c>
      <c r="AL130" s="28">
        <v>0.0</v>
      </c>
      <c r="AM130" s="25" t="s">
        <v>67</v>
      </c>
      <c r="AN130" s="25" t="s">
        <v>359</v>
      </c>
      <c r="AO130" s="25" t="s">
        <v>360</v>
      </c>
      <c r="AP130" s="25" t="s">
        <v>214</v>
      </c>
      <c r="AQ130" s="25" t="s">
        <v>361</v>
      </c>
      <c r="AR130" s="25" t="s">
        <v>362</v>
      </c>
      <c r="AS130" s="26"/>
      <c r="AT130" s="26"/>
      <c r="AU130" s="26"/>
      <c r="AV130" s="26"/>
    </row>
    <row r="131">
      <c r="A131" s="23">
        <f t="shared" si="5"/>
        <v>128</v>
      </c>
      <c r="B131" s="24" t="s">
        <v>363</v>
      </c>
      <c r="C131" s="24" t="s">
        <v>364</v>
      </c>
      <c r="D131" s="24" t="s">
        <v>365</v>
      </c>
      <c r="E131" s="25">
        <v>151.0</v>
      </c>
      <c r="F131" s="42"/>
      <c r="G131" s="25">
        <f t="shared" si="1"/>
        <v>151</v>
      </c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26"/>
      <c r="X131" s="26"/>
      <c r="Y131" s="26"/>
      <c r="Z131" s="26"/>
      <c r="AA131" s="26"/>
      <c r="AB131" s="26"/>
      <c r="AC131" s="26"/>
      <c r="AD131" s="26"/>
      <c r="AE131" s="27">
        <v>151.0</v>
      </c>
      <c r="AF131" s="26"/>
      <c r="AG131" s="26"/>
      <c r="AH131" s="26"/>
      <c r="AI131" s="26"/>
      <c r="AJ131" s="26"/>
      <c r="AK131" s="25">
        <v>151.0</v>
      </c>
      <c r="AL131" s="28">
        <v>0.0</v>
      </c>
      <c r="AM131" s="25" t="s">
        <v>67</v>
      </c>
      <c r="AN131" s="25" t="s">
        <v>366</v>
      </c>
      <c r="AO131" s="25" t="s">
        <v>367</v>
      </c>
      <c r="AP131" s="25" t="s">
        <v>190</v>
      </c>
      <c r="AQ131" s="25" t="s">
        <v>368</v>
      </c>
      <c r="AR131" s="26"/>
      <c r="AS131" s="26"/>
      <c r="AT131" s="26"/>
      <c r="AU131" s="26"/>
      <c r="AV131" s="26"/>
    </row>
    <row r="132">
      <c r="A132" s="23">
        <f t="shared" si="5"/>
        <v>129</v>
      </c>
      <c r="B132" s="24" t="s">
        <v>363</v>
      </c>
      <c r="C132" s="24" t="s">
        <v>364</v>
      </c>
      <c r="D132" s="24" t="s">
        <v>369</v>
      </c>
      <c r="E132" s="25">
        <v>99.0</v>
      </c>
      <c r="F132" s="42"/>
      <c r="G132" s="25">
        <f t="shared" si="1"/>
        <v>99</v>
      </c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26"/>
      <c r="X132" s="26"/>
      <c r="Y132" s="26"/>
      <c r="Z132" s="26"/>
      <c r="AA132" s="26"/>
      <c r="AB132" s="26"/>
      <c r="AC132" s="26"/>
      <c r="AD132" s="26"/>
      <c r="AE132" s="27">
        <v>99.0</v>
      </c>
      <c r="AF132" s="26"/>
      <c r="AG132" s="26"/>
      <c r="AH132" s="26"/>
      <c r="AI132" s="26"/>
      <c r="AJ132" s="26"/>
      <c r="AK132" s="25">
        <v>99.0</v>
      </c>
      <c r="AL132" s="28">
        <v>0.0</v>
      </c>
      <c r="AM132" s="25" t="s">
        <v>67</v>
      </c>
      <c r="AN132" s="25" t="s">
        <v>370</v>
      </c>
      <c r="AO132" s="25" t="s">
        <v>371</v>
      </c>
      <c r="AP132" s="25" t="s">
        <v>190</v>
      </c>
      <c r="AQ132" s="25" t="s">
        <v>372</v>
      </c>
      <c r="AR132" s="26"/>
      <c r="AS132" s="26"/>
      <c r="AT132" s="26"/>
      <c r="AU132" s="26"/>
      <c r="AV132" s="26"/>
    </row>
    <row r="133">
      <c r="A133" s="23">
        <f t="shared" si="5"/>
        <v>130</v>
      </c>
      <c r="B133" s="24" t="s">
        <v>363</v>
      </c>
      <c r="C133" s="24" t="s">
        <v>364</v>
      </c>
      <c r="D133" s="24" t="s">
        <v>373</v>
      </c>
      <c r="E133" s="25">
        <v>142.0</v>
      </c>
      <c r="F133" s="42"/>
      <c r="G133" s="25">
        <f t="shared" si="1"/>
        <v>142</v>
      </c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26"/>
      <c r="X133" s="26"/>
      <c r="Y133" s="26"/>
      <c r="Z133" s="26"/>
      <c r="AA133" s="26"/>
      <c r="AB133" s="26"/>
      <c r="AC133" s="26"/>
      <c r="AD133" s="26"/>
      <c r="AE133" s="27">
        <v>142.0</v>
      </c>
      <c r="AF133" s="26"/>
      <c r="AG133" s="26"/>
      <c r="AH133" s="26"/>
      <c r="AI133" s="26"/>
      <c r="AJ133" s="26"/>
      <c r="AK133" s="25">
        <v>142.0</v>
      </c>
      <c r="AL133" s="28">
        <v>0.0</v>
      </c>
      <c r="AM133" s="25" t="s">
        <v>67</v>
      </c>
      <c r="AN133" s="25" t="s">
        <v>374</v>
      </c>
      <c r="AO133" s="25" t="s">
        <v>375</v>
      </c>
      <c r="AP133" s="25" t="s">
        <v>190</v>
      </c>
      <c r="AQ133" s="25" t="s">
        <v>376</v>
      </c>
      <c r="AR133" s="26"/>
      <c r="AS133" s="26"/>
      <c r="AT133" s="26"/>
      <c r="AU133" s="26"/>
      <c r="AV133" s="26"/>
    </row>
    <row r="134">
      <c r="A134" s="23">
        <f t="shared" si="5"/>
        <v>131</v>
      </c>
      <c r="B134" s="24" t="s">
        <v>377</v>
      </c>
      <c r="C134" s="24" t="s">
        <v>378</v>
      </c>
      <c r="D134" s="24" t="s">
        <v>379</v>
      </c>
      <c r="E134" s="25">
        <v>161.0</v>
      </c>
      <c r="F134" s="42"/>
      <c r="G134" s="25">
        <f t="shared" si="1"/>
        <v>161</v>
      </c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26"/>
      <c r="X134" s="26"/>
      <c r="Y134" s="26"/>
      <c r="Z134" s="26"/>
      <c r="AA134" s="26"/>
      <c r="AB134" s="26"/>
      <c r="AC134" s="26"/>
      <c r="AD134" s="26"/>
      <c r="AE134" s="27">
        <v>161.0</v>
      </c>
      <c r="AF134" s="26"/>
      <c r="AG134" s="26"/>
      <c r="AH134" s="26"/>
      <c r="AI134" s="26"/>
      <c r="AJ134" s="26"/>
      <c r="AK134" s="25">
        <v>161.0</v>
      </c>
      <c r="AL134" s="28">
        <v>0.0</v>
      </c>
      <c r="AM134" s="25" t="s">
        <v>67</v>
      </c>
      <c r="AN134" s="25" t="s">
        <v>380</v>
      </c>
      <c r="AO134" s="25" t="s">
        <v>381</v>
      </c>
      <c r="AP134" s="25" t="s">
        <v>190</v>
      </c>
      <c r="AQ134" s="25" t="s">
        <v>382</v>
      </c>
      <c r="AR134" s="26"/>
      <c r="AS134" s="26"/>
      <c r="AT134" s="26"/>
      <c r="AU134" s="26"/>
      <c r="AV134" s="26"/>
    </row>
    <row r="135">
      <c r="A135" s="23">
        <f t="shared" si="5"/>
        <v>132</v>
      </c>
      <c r="B135" s="24" t="s">
        <v>377</v>
      </c>
      <c r="C135" s="24" t="s">
        <v>378</v>
      </c>
      <c r="D135" s="24" t="s">
        <v>383</v>
      </c>
      <c r="E135" s="25">
        <v>190.0</v>
      </c>
      <c r="F135" s="42"/>
      <c r="G135" s="25">
        <f t="shared" si="1"/>
        <v>190</v>
      </c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26"/>
      <c r="X135" s="26"/>
      <c r="Y135" s="26"/>
      <c r="Z135" s="26"/>
      <c r="AA135" s="26"/>
      <c r="AB135" s="26"/>
      <c r="AC135" s="26"/>
      <c r="AD135" s="26"/>
      <c r="AE135" s="27">
        <v>190.0</v>
      </c>
      <c r="AF135" s="26"/>
      <c r="AG135" s="26"/>
      <c r="AH135" s="26"/>
      <c r="AI135" s="26"/>
      <c r="AJ135" s="26"/>
      <c r="AK135" s="25">
        <v>190.0</v>
      </c>
      <c r="AL135" s="28">
        <v>0.0</v>
      </c>
      <c r="AM135" s="25" t="s">
        <v>67</v>
      </c>
      <c r="AN135" s="25" t="s">
        <v>384</v>
      </c>
      <c r="AO135" s="25" t="s">
        <v>385</v>
      </c>
      <c r="AP135" s="25" t="s">
        <v>190</v>
      </c>
      <c r="AQ135" s="25" t="s">
        <v>386</v>
      </c>
      <c r="AR135" s="26"/>
      <c r="AS135" s="26"/>
      <c r="AT135" s="26"/>
      <c r="AU135" s="26"/>
      <c r="AV135" s="26"/>
    </row>
    <row r="136">
      <c r="A136" s="23">
        <f t="shared" si="5"/>
        <v>133</v>
      </c>
      <c r="B136" s="24" t="s">
        <v>387</v>
      </c>
      <c r="C136" s="24" t="s">
        <v>388</v>
      </c>
      <c r="D136" s="24" t="s">
        <v>389</v>
      </c>
      <c r="E136" s="25">
        <v>184.0</v>
      </c>
      <c r="F136" s="42"/>
      <c r="G136" s="25">
        <f t="shared" si="1"/>
        <v>184</v>
      </c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26"/>
      <c r="X136" s="26"/>
      <c r="Y136" s="26"/>
      <c r="Z136" s="26"/>
      <c r="AA136" s="26"/>
      <c r="AB136" s="26"/>
      <c r="AC136" s="27">
        <v>184.0</v>
      </c>
      <c r="AD136" s="26"/>
      <c r="AE136" s="26"/>
      <c r="AF136" s="26"/>
      <c r="AG136" s="26"/>
      <c r="AH136" s="26"/>
      <c r="AI136" s="26"/>
      <c r="AJ136" s="26"/>
      <c r="AK136" s="25">
        <v>184.0</v>
      </c>
      <c r="AL136" s="28">
        <v>0.0</v>
      </c>
      <c r="AM136" s="25" t="s">
        <v>67</v>
      </c>
      <c r="AN136" s="25" t="s">
        <v>390</v>
      </c>
      <c r="AO136" s="25" t="s">
        <v>391</v>
      </c>
      <c r="AP136" s="25" t="s">
        <v>190</v>
      </c>
      <c r="AQ136" s="25" t="s">
        <v>392</v>
      </c>
      <c r="AR136" s="26"/>
      <c r="AS136" s="26"/>
      <c r="AT136" s="26"/>
      <c r="AU136" s="26"/>
      <c r="AV136" s="26"/>
    </row>
    <row r="137">
      <c r="A137" s="23">
        <f t="shared" si="5"/>
        <v>134</v>
      </c>
      <c r="B137" s="24" t="s">
        <v>387</v>
      </c>
      <c r="C137" s="24" t="s">
        <v>388</v>
      </c>
      <c r="D137" s="24" t="s">
        <v>393</v>
      </c>
      <c r="E137" s="25">
        <v>158.0</v>
      </c>
      <c r="F137" s="42"/>
      <c r="G137" s="25">
        <f t="shared" si="1"/>
        <v>158</v>
      </c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26"/>
      <c r="X137" s="26"/>
      <c r="Y137" s="26"/>
      <c r="Z137" s="26"/>
      <c r="AA137" s="26"/>
      <c r="AB137" s="26"/>
      <c r="AC137" s="27">
        <v>158.0</v>
      </c>
      <c r="AD137" s="26"/>
      <c r="AE137" s="26"/>
      <c r="AF137" s="26"/>
      <c r="AG137" s="26"/>
      <c r="AH137" s="26"/>
      <c r="AI137" s="26"/>
      <c r="AJ137" s="26"/>
      <c r="AK137" s="25">
        <v>158.0</v>
      </c>
      <c r="AL137" s="28">
        <v>0.0</v>
      </c>
      <c r="AM137" s="25" t="s">
        <v>67</v>
      </c>
      <c r="AN137" s="25" t="s">
        <v>394</v>
      </c>
      <c r="AO137" s="25" t="s">
        <v>395</v>
      </c>
      <c r="AP137" s="25" t="s">
        <v>190</v>
      </c>
      <c r="AQ137" s="25" t="s">
        <v>396</v>
      </c>
      <c r="AR137" s="26"/>
      <c r="AS137" s="26"/>
      <c r="AT137" s="26"/>
      <c r="AU137" s="26"/>
      <c r="AV137" s="26"/>
    </row>
    <row r="138">
      <c r="A138" s="23">
        <f t="shared" si="5"/>
        <v>135</v>
      </c>
      <c r="B138" s="24" t="s">
        <v>387</v>
      </c>
      <c r="C138" s="24" t="s">
        <v>388</v>
      </c>
      <c r="D138" s="24" t="s">
        <v>397</v>
      </c>
      <c r="E138" s="25">
        <v>7.0</v>
      </c>
      <c r="F138" s="42"/>
      <c r="G138" s="25">
        <f t="shared" si="1"/>
        <v>7</v>
      </c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26"/>
      <c r="X138" s="26"/>
      <c r="Y138" s="26"/>
      <c r="Z138" s="26"/>
      <c r="AA138" s="26"/>
      <c r="AB138" s="26"/>
      <c r="AC138" s="26"/>
      <c r="AD138" s="27">
        <v>7.0</v>
      </c>
      <c r="AE138" s="26"/>
      <c r="AF138" s="26"/>
      <c r="AG138" s="26"/>
      <c r="AH138" s="26"/>
      <c r="AI138" s="26"/>
      <c r="AJ138" s="26"/>
      <c r="AK138" s="25">
        <v>7.0</v>
      </c>
      <c r="AL138" s="28">
        <v>0.0</v>
      </c>
      <c r="AM138" s="25" t="s">
        <v>67</v>
      </c>
      <c r="AN138" s="25" t="s">
        <v>398</v>
      </c>
      <c r="AO138" s="25" t="s">
        <v>399</v>
      </c>
      <c r="AP138" s="25" t="s">
        <v>190</v>
      </c>
      <c r="AQ138" s="25" t="s">
        <v>400</v>
      </c>
      <c r="AR138" s="26"/>
      <c r="AS138" s="26"/>
      <c r="AT138" s="26"/>
      <c r="AU138" s="26"/>
      <c r="AV138" s="26"/>
    </row>
    <row r="139">
      <c r="A139" s="23">
        <f t="shared" si="5"/>
        <v>136</v>
      </c>
      <c r="B139" s="24" t="s">
        <v>387</v>
      </c>
      <c r="C139" s="24" t="s">
        <v>388</v>
      </c>
      <c r="D139" s="24" t="s">
        <v>401</v>
      </c>
      <c r="E139" s="25">
        <v>8.0</v>
      </c>
      <c r="F139" s="42"/>
      <c r="G139" s="25">
        <f t="shared" si="1"/>
        <v>8</v>
      </c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26"/>
      <c r="X139" s="26"/>
      <c r="Y139" s="26"/>
      <c r="Z139" s="26"/>
      <c r="AA139" s="26"/>
      <c r="AB139" s="26"/>
      <c r="AC139" s="26"/>
      <c r="AD139" s="27">
        <v>8.0</v>
      </c>
      <c r="AE139" s="26"/>
      <c r="AF139" s="26"/>
      <c r="AG139" s="26"/>
      <c r="AH139" s="26"/>
      <c r="AI139" s="26"/>
      <c r="AJ139" s="26"/>
      <c r="AK139" s="25">
        <v>8.0</v>
      </c>
      <c r="AL139" s="28">
        <v>0.0</v>
      </c>
      <c r="AM139" s="25" t="s">
        <v>67</v>
      </c>
      <c r="AN139" s="25" t="s">
        <v>402</v>
      </c>
      <c r="AO139" s="25" t="s">
        <v>403</v>
      </c>
      <c r="AP139" s="25" t="s">
        <v>190</v>
      </c>
      <c r="AQ139" s="25" t="s">
        <v>404</v>
      </c>
      <c r="AR139" s="26"/>
      <c r="AS139" s="26"/>
      <c r="AT139" s="26"/>
      <c r="AU139" s="26"/>
      <c r="AV139" s="26"/>
    </row>
    <row r="140">
      <c r="A140" s="23">
        <f t="shared" si="5"/>
        <v>137</v>
      </c>
      <c r="B140" s="24" t="s">
        <v>405</v>
      </c>
      <c r="C140" s="24" t="s">
        <v>406</v>
      </c>
      <c r="D140" s="24" t="s">
        <v>321</v>
      </c>
      <c r="E140" s="25">
        <v>31.0</v>
      </c>
      <c r="F140" s="42"/>
      <c r="G140" s="25">
        <f t="shared" si="1"/>
        <v>31</v>
      </c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26"/>
      <c r="X140" s="26"/>
      <c r="Y140" s="26"/>
      <c r="Z140" s="26"/>
      <c r="AA140" s="26"/>
      <c r="AB140" s="26"/>
      <c r="AC140" s="26"/>
      <c r="AD140" s="27">
        <v>31.0</v>
      </c>
      <c r="AE140" s="26"/>
      <c r="AF140" s="26"/>
      <c r="AG140" s="26"/>
      <c r="AH140" s="26"/>
      <c r="AI140" s="26"/>
      <c r="AJ140" s="26"/>
      <c r="AK140" s="25">
        <v>31.0</v>
      </c>
      <c r="AL140" s="28">
        <v>0.0</v>
      </c>
      <c r="AM140" s="25" t="s">
        <v>67</v>
      </c>
      <c r="AN140" s="25" t="s">
        <v>322</v>
      </c>
      <c r="AO140" s="25" t="s">
        <v>407</v>
      </c>
      <c r="AP140" s="25" t="s">
        <v>190</v>
      </c>
      <c r="AQ140" s="25" t="s">
        <v>316</v>
      </c>
      <c r="AR140" s="26"/>
      <c r="AS140" s="26"/>
      <c r="AT140" s="26"/>
      <c r="AU140" s="26"/>
      <c r="AV140" s="26"/>
    </row>
    <row r="141">
      <c r="A141" s="23">
        <f t="shared" si="5"/>
        <v>138</v>
      </c>
      <c r="B141" s="24" t="s">
        <v>405</v>
      </c>
      <c r="C141" s="24" t="s">
        <v>406</v>
      </c>
      <c r="D141" s="24" t="s">
        <v>324</v>
      </c>
      <c r="E141" s="25">
        <v>32.0</v>
      </c>
      <c r="F141" s="42"/>
      <c r="G141" s="25">
        <f t="shared" si="1"/>
        <v>32</v>
      </c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26"/>
      <c r="X141" s="26"/>
      <c r="Y141" s="26"/>
      <c r="Z141" s="26"/>
      <c r="AA141" s="26"/>
      <c r="AB141" s="26"/>
      <c r="AC141" s="26"/>
      <c r="AD141" s="27">
        <v>32.0</v>
      </c>
      <c r="AE141" s="26"/>
      <c r="AF141" s="26"/>
      <c r="AG141" s="26"/>
      <c r="AH141" s="26"/>
      <c r="AI141" s="26"/>
      <c r="AJ141" s="26"/>
      <c r="AK141" s="25">
        <v>32.0</v>
      </c>
      <c r="AL141" s="28">
        <v>0.0</v>
      </c>
      <c r="AM141" s="25" t="s">
        <v>67</v>
      </c>
      <c r="AN141" s="25" t="s">
        <v>325</v>
      </c>
      <c r="AO141" s="25" t="s">
        <v>408</v>
      </c>
      <c r="AP141" s="25" t="s">
        <v>190</v>
      </c>
      <c r="AQ141" s="25" t="s">
        <v>409</v>
      </c>
      <c r="AR141" s="26"/>
      <c r="AS141" s="26"/>
      <c r="AT141" s="26"/>
      <c r="AU141" s="26"/>
      <c r="AV141" s="26"/>
    </row>
    <row r="142">
      <c r="A142" s="23">
        <f t="shared" si="5"/>
        <v>139</v>
      </c>
      <c r="B142" s="24" t="s">
        <v>405</v>
      </c>
      <c r="C142" s="24" t="s">
        <v>406</v>
      </c>
      <c r="D142" s="24" t="s">
        <v>108</v>
      </c>
      <c r="E142" s="25">
        <v>9.0</v>
      </c>
      <c r="F142" s="42"/>
      <c r="G142" s="25">
        <f t="shared" si="1"/>
        <v>9</v>
      </c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26"/>
      <c r="X142" s="26"/>
      <c r="Y142" s="26"/>
      <c r="Z142" s="26"/>
      <c r="AA142" s="26"/>
      <c r="AB142" s="26"/>
      <c r="AC142" s="26"/>
      <c r="AD142" s="27">
        <v>9.0</v>
      </c>
      <c r="AE142" s="26"/>
      <c r="AF142" s="26"/>
      <c r="AG142" s="26"/>
      <c r="AH142" s="26"/>
      <c r="AI142" s="26"/>
      <c r="AJ142" s="26"/>
      <c r="AK142" s="25">
        <v>9.0</v>
      </c>
      <c r="AL142" s="28">
        <v>0.0</v>
      </c>
      <c r="AM142" s="25" t="s">
        <v>67</v>
      </c>
      <c r="AN142" s="25" t="s">
        <v>332</v>
      </c>
      <c r="AO142" s="25" t="s">
        <v>410</v>
      </c>
      <c r="AP142" s="25" t="s">
        <v>190</v>
      </c>
      <c r="AQ142" s="25" t="s">
        <v>186</v>
      </c>
      <c r="AR142" s="26"/>
      <c r="AS142" s="26"/>
      <c r="AT142" s="26"/>
      <c r="AU142" s="26"/>
      <c r="AV142" s="26"/>
    </row>
    <row r="143">
      <c r="A143" s="23">
        <f t="shared" si="5"/>
        <v>140</v>
      </c>
      <c r="B143" s="24" t="s">
        <v>405</v>
      </c>
      <c r="C143" s="24" t="s">
        <v>406</v>
      </c>
      <c r="D143" s="24" t="s">
        <v>111</v>
      </c>
      <c r="E143" s="25">
        <v>14.0</v>
      </c>
      <c r="F143" s="42"/>
      <c r="G143" s="25">
        <f t="shared" si="1"/>
        <v>14</v>
      </c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26"/>
      <c r="X143" s="26"/>
      <c r="Y143" s="26"/>
      <c r="Z143" s="26"/>
      <c r="AA143" s="26"/>
      <c r="AB143" s="26"/>
      <c r="AC143" s="26"/>
      <c r="AD143" s="27">
        <v>14.0</v>
      </c>
      <c r="AE143" s="26"/>
      <c r="AF143" s="26"/>
      <c r="AG143" s="26"/>
      <c r="AH143" s="26"/>
      <c r="AI143" s="26"/>
      <c r="AJ143" s="26"/>
      <c r="AK143" s="25">
        <v>14.0</v>
      </c>
      <c r="AL143" s="28">
        <v>0.0</v>
      </c>
      <c r="AM143" s="25" t="s">
        <v>67</v>
      </c>
      <c r="AN143" s="25" t="s">
        <v>335</v>
      </c>
      <c r="AO143" s="25" t="s">
        <v>411</v>
      </c>
      <c r="AP143" s="25" t="s">
        <v>190</v>
      </c>
      <c r="AQ143" s="25" t="s">
        <v>412</v>
      </c>
      <c r="AR143" s="26"/>
      <c r="AS143" s="26"/>
      <c r="AT143" s="26"/>
      <c r="AU143" s="26"/>
      <c r="AV143" s="26"/>
    </row>
    <row r="144">
      <c r="A144" s="23">
        <f t="shared" si="5"/>
        <v>141</v>
      </c>
      <c r="B144" s="24" t="s">
        <v>413</v>
      </c>
      <c r="C144" s="26"/>
      <c r="D144" s="24" t="s">
        <v>414</v>
      </c>
      <c r="E144" s="25">
        <v>2.0</v>
      </c>
      <c r="F144" s="39">
        <v>2.0</v>
      </c>
      <c r="G144" s="25">
        <f t="shared" si="1"/>
        <v>4</v>
      </c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7">
        <v>2.0</v>
      </c>
      <c r="AK144" s="25">
        <v>2.0</v>
      </c>
      <c r="AL144" s="28">
        <v>0.0</v>
      </c>
      <c r="AM144" s="25" t="s">
        <v>67</v>
      </c>
      <c r="AN144" s="25" t="s">
        <v>415</v>
      </c>
      <c r="AO144" s="25" t="s">
        <v>416</v>
      </c>
      <c r="AP144" s="25" t="s">
        <v>226</v>
      </c>
      <c r="AQ144" s="26"/>
      <c r="AR144" s="26"/>
      <c r="AS144" s="26"/>
      <c r="AT144" s="26"/>
      <c r="AU144" s="26"/>
      <c r="AV144" s="25" t="s">
        <v>194</v>
      </c>
    </row>
    <row r="145">
      <c r="A145" s="23">
        <f t="shared" si="5"/>
        <v>142</v>
      </c>
      <c r="B145" s="24" t="s">
        <v>417</v>
      </c>
      <c r="C145" s="24" t="s">
        <v>418</v>
      </c>
      <c r="D145" s="24" t="s">
        <v>419</v>
      </c>
      <c r="E145" s="25">
        <v>12.0</v>
      </c>
      <c r="F145" s="39">
        <v>12.0</v>
      </c>
      <c r="G145" s="25">
        <f t="shared" si="1"/>
        <v>24</v>
      </c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26"/>
      <c r="X145" s="26"/>
      <c r="Y145" s="26"/>
      <c r="Z145" s="26"/>
      <c r="AA145" s="26"/>
      <c r="AB145" s="26"/>
      <c r="AC145" s="26"/>
      <c r="AD145" s="26"/>
      <c r="AE145" s="27">
        <v>12.0</v>
      </c>
      <c r="AF145" s="26"/>
      <c r="AG145" s="26"/>
      <c r="AH145" s="26"/>
      <c r="AI145" s="26"/>
      <c r="AJ145" s="26"/>
      <c r="AK145" s="25">
        <v>12.0</v>
      </c>
      <c r="AL145" s="28">
        <v>0.0</v>
      </c>
      <c r="AM145" s="25" t="s">
        <v>67</v>
      </c>
      <c r="AN145" s="25" t="s">
        <v>420</v>
      </c>
      <c r="AO145" s="25" t="s">
        <v>421</v>
      </c>
      <c r="AP145" s="25" t="s">
        <v>226</v>
      </c>
      <c r="AQ145" s="26"/>
      <c r="AR145" s="26"/>
      <c r="AS145" s="26"/>
      <c r="AT145" s="26"/>
      <c r="AU145" s="26"/>
      <c r="AV145" s="25" t="s">
        <v>422</v>
      </c>
    </row>
    <row r="146">
      <c r="A146" s="23">
        <f t="shared" si="5"/>
        <v>143</v>
      </c>
      <c r="B146" s="24" t="s">
        <v>423</v>
      </c>
      <c r="C146" s="26"/>
      <c r="D146" s="24" t="s">
        <v>424</v>
      </c>
      <c r="E146" s="25">
        <v>8.0</v>
      </c>
      <c r="F146" s="39">
        <v>8.0</v>
      </c>
      <c r="G146" s="25">
        <f t="shared" si="1"/>
        <v>16</v>
      </c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26"/>
      <c r="X146" s="26"/>
      <c r="Y146" s="26"/>
      <c r="Z146" s="26"/>
      <c r="AA146" s="26"/>
      <c r="AB146" s="26"/>
      <c r="AC146" s="26"/>
      <c r="AD146" s="26"/>
      <c r="AE146" s="27">
        <v>8.0</v>
      </c>
      <c r="AF146" s="26"/>
      <c r="AG146" s="26"/>
      <c r="AH146" s="26"/>
      <c r="AI146" s="26"/>
      <c r="AJ146" s="26"/>
      <c r="AK146" s="25">
        <v>8.0</v>
      </c>
      <c r="AL146" s="28">
        <v>0.0</v>
      </c>
      <c r="AM146" s="25" t="s">
        <v>67</v>
      </c>
      <c r="AN146" s="25" t="s">
        <v>425</v>
      </c>
      <c r="AO146" s="25" t="s">
        <v>426</v>
      </c>
      <c r="AP146" s="25" t="s">
        <v>226</v>
      </c>
      <c r="AQ146" s="26"/>
      <c r="AR146" s="26"/>
      <c r="AS146" s="26"/>
      <c r="AT146" s="26"/>
      <c r="AU146" s="26"/>
      <c r="AV146" s="25" t="s">
        <v>404</v>
      </c>
    </row>
    <row r="147">
      <c r="A147" s="23">
        <f t="shared" si="5"/>
        <v>144</v>
      </c>
      <c r="B147" s="24" t="s">
        <v>427</v>
      </c>
      <c r="C147" s="26"/>
      <c r="D147" s="24" t="s">
        <v>428</v>
      </c>
      <c r="E147" s="25">
        <v>3.0</v>
      </c>
      <c r="F147" s="39">
        <v>3.0</v>
      </c>
      <c r="G147" s="25">
        <f t="shared" si="1"/>
        <v>6</v>
      </c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26"/>
      <c r="X147" s="26"/>
      <c r="Y147" s="26"/>
      <c r="Z147" s="26"/>
      <c r="AA147" s="26"/>
      <c r="AB147" s="26"/>
      <c r="AC147" s="26"/>
      <c r="AD147" s="26"/>
      <c r="AE147" s="27">
        <v>3.0</v>
      </c>
      <c r="AF147" s="26"/>
      <c r="AG147" s="26"/>
      <c r="AH147" s="26"/>
      <c r="AI147" s="26"/>
      <c r="AJ147" s="26"/>
      <c r="AK147" s="25">
        <v>3.0</v>
      </c>
      <c r="AL147" s="28">
        <v>0.0</v>
      </c>
      <c r="AM147" s="25" t="s">
        <v>67</v>
      </c>
      <c r="AN147" s="25" t="s">
        <v>429</v>
      </c>
      <c r="AO147" s="25" t="s">
        <v>430</v>
      </c>
      <c r="AP147" s="25" t="s">
        <v>226</v>
      </c>
      <c r="AQ147" s="26"/>
      <c r="AR147" s="26"/>
      <c r="AS147" s="26"/>
      <c r="AT147" s="26"/>
      <c r="AU147" s="26"/>
      <c r="AV147" s="25" t="s">
        <v>431</v>
      </c>
    </row>
    <row r="148">
      <c r="A148" s="23">
        <f t="shared" si="5"/>
        <v>145</v>
      </c>
      <c r="B148" s="24" t="s">
        <v>130</v>
      </c>
      <c r="C148" s="26"/>
      <c r="D148" s="24" t="s">
        <v>432</v>
      </c>
      <c r="E148" s="25">
        <v>34.0</v>
      </c>
      <c r="F148" s="39">
        <v>34.0</v>
      </c>
      <c r="G148" s="25">
        <f t="shared" si="1"/>
        <v>68</v>
      </c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26"/>
      <c r="X148" s="26"/>
      <c r="Y148" s="26"/>
      <c r="Z148" s="26"/>
      <c r="AA148" s="26"/>
      <c r="AB148" s="26"/>
      <c r="AC148" s="26"/>
      <c r="AD148" s="26"/>
      <c r="AE148" s="27">
        <v>34.0</v>
      </c>
      <c r="AF148" s="26"/>
      <c r="AG148" s="26"/>
      <c r="AH148" s="26"/>
      <c r="AI148" s="26"/>
      <c r="AJ148" s="26"/>
      <c r="AK148" s="25">
        <v>34.0</v>
      </c>
      <c r="AL148" s="28">
        <v>0.0</v>
      </c>
      <c r="AM148" s="25" t="s">
        <v>67</v>
      </c>
      <c r="AN148" s="25" t="s">
        <v>433</v>
      </c>
      <c r="AO148" s="25" t="s">
        <v>434</v>
      </c>
      <c r="AP148" s="25" t="s">
        <v>435</v>
      </c>
      <c r="AQ148" s="26"/>
      <c r="AR148" s="26"/>
      <c r="AS148" s="26"/>
      <c r="AT148" s="25" t="s">
        <v>436</v>
      </c>
      <c r="AU148" s="26"/>
      <c r="AV148" s="26"/>
    </row>
    <row r="149">
      <c r="A149" s="23">
        <f t="shared" si="5"/>
        <v>146</v>
      </c>
      <c r="B149" s="24" t="s">
        <v>437</v>
      </c>
      <c r="C149" s="26"/>
      <c r="D149" s="24" t="s">
        <v>438</v>
      </c>
      <c r="E149" s="25">
        <v>20.0</v>
      </c>
      <c r="F149" s="39">
        <v>20.0</v>
      </c>
      <c r="G149" s="25">
        <f t="shared" si="1"/>
        <v>40</v>
      </c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26"/>
      <c r="X149" s="26"/>
      <c r="Y149" s="26"/>
      <c r="Z149" s="26"/>
      <c r="AA149" s="26"/>
      <c r="AB149" s="26"/>
      <c r="AC149" s="26"/>
      <c r="AD149" s="26"/>
      <c r="AE149" s="27">
        <v>12.0</v>
      </c>
      <c r="AF149" s="26"/>
      <c r="AG149" s="26"/>
      <c r="AH149" s="26"/>
      <c r="AI149" s="26"/>
      <c r="AJ149" s="26"/>
      <c r="AK149" s="25">
        <v>12.0</v>
      </c>
      <c r="AL149" s="28">
        <v>8.0</v>
      </c>
      <c r="AM149" s="25" t="s">
        <v>67</v>
      </c>
      <c r="AN149" s="25" t="s">
        <v>439</v>
      </c>
      <c r="AO149" s="25" t="s">
        <v>440</v>
      </c>
      <c r="AP149" s="25" t="s">
        <v>226</v>
      </c>
      <c r="AQ149" s="26"/>
      <c r="AR149" s="26"/>
      <c r="AS149" s="26"/>
      <c r="AT149" s="26"/>
      <c r="AU149" s="26"/>
      <c r="AV149" s="25" t="s">
        <v>441</v>
      </c>
    </row>
    <row r="150">
      <c r="A150" s="23">
        <f t="shared" si="5"/>
        <v>147</v>
      </c>
      <c r="B150" s="24" t="s">
        <v>437</v>
      </c>
      <c r="C150" s="26"/>
      <c r="D150" s="24" t="s">
        <v>442</v>
      </c>
      <c r="E150" s="25">
        <v>7.0</v>
      </c>
      <c r="F150" s="39">
        <v>7.0</v>
      </c>
      <c r="G150" s="25">
        <f t="shared" si="1"/>
        <v>14</v>
      </c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7">
        <v>7.0</v>
      </c>
      <c r="AJ150" s="26"/>
      <c r="AK150" s="25">
        <v>7.0</v>
      </c>
      <c r="AL150" s="28">
        <v>0.0</v>
      </c>
      <c r="AM150" s="25" t="s">
        <v>67</v>
      </c>
      <c r="AN150" s="25" t="s">
        <v>443</v>
      </c>
      <c r="AO150" s="25" t="s">
        <v>444</v>
      </c>
      <c r="AP150" s="25" t="s">
        <v>226</v>
      </c>
      <c r="AQ150" s="26"/>
      <c r="AR150" s="26"/>
      <c r="AS150" s="26"/>
      <c r="AT150" s="26"/>
      <c r="AU150" s="26"/>
      <c r="AV150" s="25" t="s">
        <v>400</v>
      </c>
    </row>
    <row r="151">
      <c r="A151" s="23">
        <f t="shared" si="5"/>
        <v>148</v>
      </c>
      <c r="B151" s="24" t="s">
        <v>437</v>
      </c>
      <c r="C151" s="26"/>
      <c r="D151" s="24" t="s">
        <v>445</v>
      </c>
      <c r="E151" s="25">
        <v>10.0</v>
      </c>
      <c r="F151" s="39">
        <v>10.0</v>
      </c>
      <c r="G151" s="25">
        <f t="shared" si="1"/>
        <v>20</v>
      </c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7">
        <v>10.0</v>
      </c>
      <c r="AJ151" s="26"/>
      <c r="AK151" s="25">
        <v>10.0</v>
      </c>
      <c r="AL151" s="28">
        <v>0.0</v>
      </c>
      <c r="AM151" s="25" t="s">
        <v>67</v>
      </c>
      <c r="AN151" s="25" t="s">
        <v>446</v>
      </c>
      <c r="AO151" s="25" t="s">
        <v>447</v>
      </c>
      <c r="AP151" s="25" t="s">
        <v>226</v>
      </c>
      <c r="AQ151" s="26"/>
      <c r="AR151" s="26"/>
      <c r="AS151" s="26"/>
      <c r="AT151" s="26"/>
      <c r="AU151" s="26"/>
      <c r="AV151" s="25" t="s">
        <v>259</v>
      </c>
    </row>
    <row r="152">
      <c r="A152" s="23">
        <f t="shared" si="5"/>
        <v>149</v>
      </c>
      <c r="B152" s="24" t="s">
        <v>437</v>
      </c>
      <c r="C152" s="26"/>
      <c r="D152" s="24" t="s">
        <v>448</v>
      </c>
      <c r="E152" s="25">
        <v>4.0</v>
      </c>
      <c r="F152" s="39">
        <v>4.0</v>
      </c>
      <c r="G152" s="25">
        <f t="shared" si="1"/>
        <v>8</v>
      </c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7">
        <v>4.0</v>
      </c>
      <c r="AJ152" s="26"/>
      <c r="AK152" s="25">
        <v>4.0</v>
      </c>
      <c r="AL152" s="28">
        <v>0.0</v>
      </c>
      <c r="AM152" s="25" t="s">
        <v>67</v>
      </c>
      <c r="AN152" s="25" t="s">
        <v>449</v>
      </c>
      <c r="AO152" s="25" t="s">
        <v>450</v>
      </c>
      <c r="AP152" s="25" t="s">
        <v>226</v>
      </c>
      <c r="AQ152" s="26"/>
      <c r="AR152" s="26"/>
      <c r="AS152" s="26"/>
      <c r="AT152" s="26"/>
      <c r="AU152" s="26"/>
      <c r="AV152" s="25" t="s">
        <v>237</v>
      </c>
    </row>
    <row r="153">
      <c r="A153" s="23">
        <f t="shared" si="5"/>
        <v>150</v>
      </c>
      <c r="B153" s="24" t="s">
        <v>437</v>
      </c>
      <c r="C153" s="26"/>
      <c r="D153" s="24" t="s">
        <v>451</v>
      </c>
      <c r="E153" s="25">
        <v>44.0</v>
      </c>
      <c r="F153" s="39">
        <v>44.0</v>
      </c>
      <c r="G153" s="25">
        <f t="shared" si="1"/>
        <v>88</v>
      </c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7">
        <v>44.0</v>
      </c>
      <c r="AJ153" s="26"/>
      <c r="AK153" s="25">
        <v>44.0</v>
      </c>
      <c r="AL153" s="28">
        <v>0.0</v>
      </c>
      <c r="AM153" s="25" t="s">
        <v>67</v>
      </c>
      <c r="AN153" s="25" t="s">
        <v>452</v>
      </c>
      <c r="AO153" s="25" t="s">
        <v>453</v>
      </c>
      <c r="AP153" s="25" t="s">
        <v>226</v>
      </c>
      <c r="AQ153" s="26"/>
      <c r="AR153" s="26"/>
      <c r="AS153" s="26"/>
      <c r="AT153" s="26"/>
      <c r="AU153" s="26"/>
      <c r="AV153" s="25" t="s">
        <v>454</v>
      </c>
    </row>
    <row r="154">
      <c r="A154" s="23">
        <f t="shared" si="5"/>
        <v>151</v>
      </c>
      <c r="B154" s="24" t="s">
        <v>455</v>
      </c>
      <c r="C154" s="26"/>
      <c r="D154" s="24" t="s">
        <v>456</v>
      </c>
      <c r="E154" s="25">
        <v>9.0</v>
      </c>
      <c r="F154" s="39">
        <v>9.0</v>
      </c>
      <c r="G154" s="25">
        <f t="shared" si="1"/>
        <v>18</v>
      </c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7">
        <v>9.0</v>
      </c>
      <c r="AJ154" s="26"/>
      <c r="AK154" s="25">
        <v>9.0</v>
      </c>
      <c r="AL154" s="28">
        <v>0.0</v>
      </c>
      <c r="AM154" s="25" t="s">
        <v>67</v>
      </c>
      <c r="AN154" s="25" t="s">
        <v>457</v>
      </c>
      <c r="AO154" s="25" t="s">
        <v>458</v>
      </c>
      <c r="AP154" s="25" t="s">
        <v>226</v>
      </c>
      <c r="AQ154" s="26"/>
      <c r="AR154" s="26"/>
      <c r="AS154" s="26"/>
      <c r="AT154" s="26"/>
      <c r="AU154" s="26"/>
      <c r="AV154" s="25" t="s">
        <v>186</v>
      </c>
    </row>
    <row r="155">
      <c r="A155" s="23">
        <f t="shared" si="5"/>
        <v>152</v>
      </c>
      <c r="B155" s="24" t="s">
        <v>459</v>
      </c>
      <c r="C155" s="26"/>
      <c r="D155" s="24" t="s">
        <v>460</v>
      </c>
      <c r="E155" s="25">
        <v>4.0</v>
      </c>
      <c r="F155" s="39">
        <v>4.0</v>
      </c>
      <c r="G155" s="25">
        <f t="shared" si="1"/>
        <v>8</v>
      </c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7">
        <v>4.0</v>
      </c>
      <c r="AJ155" s="26"/>
      <c r="AK155" s="25">
        <v>4.0</v>
      </c>
      <c r="AL155" s="28">
        <v>0.0</v>
      </c>
      <c r="AM155" s="25" t="s">
        <v>67</v>
      </c>
      <c r="AN155" s="25" t="s">
        <v>461</v>
      </c>
      <c r="AO155" s="25" t="s">
        <v>462</v>
      </c>
      <c r="AP155" s="25" t="s">
        <v>226</v>
      </c>
      <c r="AQ155" s="26"/>
      <c r="AR155" s="26"/>
      <c r="AS155" s="26"/>
      <c r="AT155" s="26"/>
      <c r="AU155" s="26"/>
      <c r="AV155" s="25" t="s">
        <v>237</v>
      </c>
    </row>
    <row r="156">
      <c r="A156" s="23">
        <f t="shared" si="5"/>
        <v>153</v>
      </c>
      <c r="B156" s="24" t="s">
        <v>463</v>
      </c>
      <c r="C156" s="26"/>
      <c r="D156" s="24" t="s">
        <v>464</v>
      </c>
      <c r="E156" s="25">
        <v>1.0</v>
      </c>
      <c r="F156" s="39">
        <v>1.0</v>
      </c>
      <c r="G156" s="25">
        <f t="shared" si="1"/>
        <v>2</v>
      </c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26"/>
      <c r="X156" s="26"/>
      <c r="Y156" s="26"/>
      <c r="Z156" s="26"/>
      <c r="AA156" s="27">
        <v>1.0</v>
      </c>
      <c r="AB156" s="26"/>
      <c r="AC156" s="26"/>
      <c r="AD156" s="26"/>
      <c r="AE156" s="26"/>
      <c r="AF156" s="26"/>
      <c r="AG156" s="26"/>
      <c r="AH156" s="26"/>
      <c r="AI156" s="26"/>
      <c r="AJ156" s="26"/>
      <c r="AK156" s="25">
        <v>1.0</v>
      </c>
      <c r="AL156" s="28">
        <v>0.0</v>
      </c>
      <c r="AM156" s="25" t="s">
        <v>67</v>
      </c>
      <c r="AN156" s="25" t="s">
        <v>465</v>
      </c>
      <c r="AO156" s="25" t="s">
        <v>465</v>
      </c>
      <c r="AP156" s="25" t="s">
        <v>226</v>
      </c>
      <c r="AQ156" s="26"/>
      <c r="AR156" s="26"/>
      <c r="AS156" s="26"/>
      <c r="AT156" s="26"/>
      <c r="AU156" s="26"/>
      <c r="AV156" s="25" t="s">
        <v>231</v>
      </c>
    </row>
    <row r="157">
      <c r="A157" s="23">
        <f t="shared" si="5"/>
        <v>154</v>
      </c>
      <c r="B157" s="24" t="s">
        <v>466</v>
      </c>
      <c r="C157" s="26"/>
      <c r="D157" s="24" t="s">
        <v>467</v>
      </c>
      <c r="E157" s="25">
        <v>26.0</v>
      </c>
      <c r="F157" s="39">
        <v>26.0</v>
      </c>
      <c r="G157" s="25">
        <f t="shared" si="1"/>
        <v>52</v>
      </c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26"/>
      <c r="X157" s="26"/>
      <c r="Y157" s="26"/>
      <c r="Z157" s="26"/>
      <c r="AA157" s="27">
        <v>26.0</v>
      </c>
      <c r="AB157" s="26"/>
      <c r="AC157" s="26"/>
      <c r="AD157" s="26"/>
      <c r="AE157" s="26"/>
      <c r="AF157" s="26"/>
      <c r="AG157" s="26"/>
      <c r="AH157" s="26"/>
      <c r="AI157" s="26"/>
      <c r="AJ157" s="26"/>
      <c r="AK157" s="25">
        <v>26.0</v>
      </c>
      <c r="AL157" s="28">
        <v>0.0</v>
      </c>
      <c r="AM157" s="25" t="s">
        <v>67</v>
      </c>
      <c r="AN157" s="25" t="s">
        <v>468</v>
      </c>
      <c r="AO157" s="25" t="s">
        <v>469</v>
      </c>
      <c r="AP157" s="25" t="s">
        <v>226</v>
      </c>
      <c r="AQ157" s="26"/>
      <c r="AR157" s="26"/>
      <c r="AS157" s="26"/>
      <c r="AT157" s="26"/>
      <c r="AU157" s="26"/>
      <c r="AV157" s="25" t="s">
        <v>470</v>
      </c>
    </row>
    <row r="158">
      <c r="A158" s="23">
        <f t="shared" si="5"/>
        <v>155</v>
      </c>
      <c r="B158" s="24" t="s">
        <v>471</v>
      </c>
      <c r="C158" s="26"/>
      <c r="D158" s="24" t="s">
        <v>472</v>
      </c>
      <c r="E158" s="25">
        <v>6.0</v>
      </c>
      <c r="F158" s="39">
        <v>6.0</v>
      </c>
      <c r="G158" s="25">
        <f t="shared" si="1"/>
        <v>12</v>
      </c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26"/>
      <c r="X158" s="26"/>
      <c r="Y158" s="26"/>
      <c r="Z158" s="26"/>
      <c r="AA158" s="27">
        <v>6.0</v>
      </c>
      <c r="AB158" s="26"/>
      <c r="AC158" s="26"/>
      <c r="AD158" s="26"/>
      <c r="AE158" s="26"/>
      <c r="AF158" s="26"/>
      <c r="AG158" s="26"/>
      <c r="AH158" s="26"/>
      <c r="AI158" s="26"/>
      <c r="AJ158" s="26"/>
      <c r="AK158" s="25">
        <v>6.0</v>
      </c>
      <c r="AL158" s="28">
        <v>0.0</v>
      </c>
      <c r="AM158" s="25" t="s">
        <v>67</v>
      </c>
      <c r="AN158" s="25" t="s">
        <v>473</v>
      </c>
      <c r="AO158" s="25" t="s">
        <v>474</v>
      </c>
      <c r="AP158" s="25" t="s">
        <v>226</v>
      </c>
      <c r="AQ158" s="26"/>
      <c r="AR158" s="26"/>
      <c r="AS158" s="26"/>
      <c r="AT158" s="26"/>
      <c r="AU158" s="26"/>
      <c r="AV158" s="25" t="s">
        <v>290</v>
      </c>
    </row>
    <row r="159">
      <c r="A159" s="23">
        <f t="shared" si="5"/>
        <v>156</v>
      </c>
      <c r="B159" s="24" t="s">
        <v>475</v>
      </c>
      <c r="C159" s="26"/>
      <c r="D159" s="24" t="s">
        <v>476</v>
      </c>
      <c r="E159" s="25">
        <v>5.0</v>
      </c>
      <c r="F159" s="39">
        <v>5.0</v>
      </c>
      <c r="G159" s="25">
        <f t="shared" si="1"/>
        <v>10</v>
      </c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26"/>
      <c r="X159" s="26"/>
      <c r="Y159" s="26"/>
      <c r="Z159" s="26"/>
      <c r="AA159" s="27">
        <v>5.0</v>
      </c>
      <c r="AB159" s="26"/>
      <c r="AC159" s="26"/>
      <c r="AD159" s="26"/>
      <c r="AE159" s="26"/>
      <c r="AF159" s="26"/>
      <c r="AG159" s="26"/>
      <c r="AH159" s="26"/>
      <c r="AI159" s="26"/>
      <c r="AJ159" s="26"/>
      <c r="AK159" s="25">
        <v>5.0</v>
      </c>
      <c r="AL159" s="28">
        <v>0.0</v>
      </c>
      <c r="AM159" s="25" t="s">
        <v>67</v>
      </c>
      <c r="AN159" s="25" t="s">
        <v>477</v>
      </c>
      <c r="AO159" s="25" t="s">
        <v>478</v>
      </c>
      <c r="AP159" s="25" t="s">
        <v>226</v>
      </c>
      <c r="AQ159" s="26"/>
      <c r="AR159" s="26"/>
      <c r="AS159" s="26"/>
      <c r="AT159" s="26"/>
      <c r="AU159" s="26"/>
      <c r="AV159" s="25" t="s">
        <v>227</v>
      </c>
    </row>
    <row r="160">
      <c r="A160" s="23">
        <f t="shared" si="5"/>
        <v>157</v>
      </c>
      <c r="B160" s="24" t="s">
        <v>475</v>
      </c>
      <c r="C160" s="26"/>
      <c r="D160" s="24" t="s">
        <v>479</v>
      </c>
      <c r="E160" s="25">
        <v>1.0</v>
      </c>
      <c r="F160" s="39">
        <v>1.0</v>
      </c>
      <c r="G160" s="25">
        <f t="shared" si="1"/>
        <v>2</v>
      </c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26"/>
      <c r="X160" s="26"/>
      <c r="Y160" s="26"/>
      <c r="Z160" s="26"/>
      <c r="AA160" s="27">
        <v>1.0</v>
      </c>
      <c r="AB160" s="26"/>
      <c r="AC160" s="26"/>
      <c r="AD160" s="26"/>
      <c r="AE160" s="26"/>
      <c r="AF160" s="26"/>
      <c r="AG160" s="26"/>
      <c r="AH160" s="26"/>
      <c r="AI160" s="26"/>
      <c r="AJ160" s="26"/>
      <c r="AK160" s="25">
        <v>1.0</v>
      </c>
      <c r="AL160" s="28">
        <v>0.0</v>
      </c>
      <c r="AM160" s="25" t="s">
        <v>67</v>
      </c>
      <c r="AN160" s="25" t="s">
        <v>480</v>
      </c>
      <c r="AO160" s="25" t="s">
        <v>480</v>
      </c>
      <c r="AP160" s="25" t="s">
        <v>226</v>
      </c>
      <c r="AQ160" s="26"/>
      <c r="AR160" s="26"/>
      <c r="AS160" s="26"/>
      <c r="AT160" s="26"/>
      <c r="AU160" s="26"/>
      <c r="AV160" s="25" t="s">
        <v>231</v>
      </c>
    </row>
    <row r="161">
      <c r="A161" s="23">
        <f t="shared" si="5"/>
        <v>158</v>
      </c>
      <c r="B161" s="24" t="s">
        <v>481</v>
      </c>
      <c r="C161" s="26"/>
      <c r="D161" s="24" t="s">
        <v>482</v>
      </c>
      <c r="E161" s="25">
        <v>2.0</v>
      </c>
      <c r="F161" s="39">
        <v>2.0</v>
      </c>
      <c r="G161" s="25">
        <f t="shared" si="1"/>
        <v>4</v>
      </c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26"/>
      <c r="X161" s="26"/>
      <c r="Y161" s="26"/>
      <c r="Z161" s="26"/>
      <c r="AA161" s="27">
        <v>2.0</v>
      </c>
      <c r="AB161" s="26"/>
      <c r="AC161" s="26"/>
      <c r="AD161" s="26"/>
      <c r="AE161" s="26"/>
      <c r="AF161" s="26"/>
      <c r="AG161" s="26"/>
      <c r="AH161" s="26"/>
      <c r="AI161" s="26"/>
      <c r="AJ161" s="26"/>
      <c r="AK161" s="25">
        <v>2.0</v>
      </c>
      <c r="AL161" s="28">
        <v>0.0</v>
      </c>
      <c r="AM161" s="25" t="s">
        <v>67</v>
      </c>
      <c r="AN161" s="25" t="s">
        <v>483</v>
      </c>
      <c r="AO161" s="25" t="s">
        <v>484</v>
      </c>
      <c r="AP161" s="25" t="s">
        <v>226</v>
      </c>
      <c r="AQ161" s="26"/>
      <c r="AR161" s="26"/>
      <c r="AS161" s="26"/>
      <c r="AT161" s="26"/>
      <c r="AU161" s="26"/>
      <c r="AV161" s="25" t="s">
        <v>194</v>
      </c>
    </row>
    <row r="162">
      <c r="A162" s="23">
        <f t="shared" si="5"/>
        <v>159</v>
      </c>
      <c r="B162" s="24" t="s">
        <v>485</v>
      </c>
      <c r="C162" s="26"/>
      <c r="D162" s="24" t="s">
        <v>486</v>
      </c>
      <c r="E162" s="25">
        <v>1.0</v>
      </c>
      <c r="F162" s="39">
        <v>1.0</v>
      </c>
      <c r="G162" s="25">
        <f t="shared" si="1"/>
        <v>2</v>
      </c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26"/>
      <c r="X162" s="26"/>
      <c r="Y162" s="26"/>
      <c r="Z162" s="26"/>
      <c r="AA162" s="27">
        <v>1.0</v>
      </c>
      <c r="AB162" s="26"/>
      <c r="AC162" s="26"/>
      <c r="AD162" s="26"/>
      <c r="AE162" s="26"/>
      <c r="AF162" s="26"/>
      <c r="AG162" s="26"/>
      <c r="AH162" s="26"/>
      <c r="AI162" s="26"/>
      <c r="AJ162" s="26"/>
      <c r="AK162" s="25">
        <v>1.0</v>
      </c>
      <c r="AL162" s="28">
        <v>0.0</v>
      </c>
      <c r="AM162" s="25" t="s">
        <v>67</v>
      </c>
      <c r="AN162" s="25" t="s">
        <v>487</v>
      </c>
      <c r="AO162" s="25" t="s">
        <v>487</v>
      </c>
      <c r="AP162" s="25" t="s">
        <v>226</v>
      </c>
      <c r="AQ162" s="26"/>
      <c r="AR162" s="26"/>
      <c r="AS162" s="26"/>
      <c r="AT162" s="26"/>
      <c r="AU162" s="26"/>
      <c r="AV162" s="25" t="s">
        <v>231</v>
      </c>
    </row>
    <row r="163">
      <c r="A163" s="23">
        <f t="shared" si="5"/>
        <v>160</v>
      </c>
      <c r="B163" s="24" t="s">
        <v>488</v>
      </c>
      <c r="C163" s="26"/>
      <c r="D163" s="24" t="s">
        <v>489</v>
      </c>
      <c r="E163" s="25">
        <v>4.0</v>
      </c>
      <c r="F163" s="39">
        <v>4.0</v>
      </c>
      <c r="G163" s="25">
        <f t="shared" si="1"/>
        <v>8</v>
      </c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26"/>
      <c r="X163" s="26"/>
      <c r="Y163" s="26"/>
      <c r="Z163" s="26"/>
      <c r="AA163" s="27">
        <v>4.0</v>
      </c>
      <c r="AB163" s="26"/>
      <c r="AC163" s="26"/>
      <c r="AD163" s="26"/>
      <c r="AE163" s="26"/>
      <c r="AF163" s="26"/>
      <c r="AG163" s="26"/>
      <c r="AH163" s="26"/>
      <c r="AI163" s="26"/>
      <c r="AJ163" s="26"/>
      <c r="AK163" s="25">
        <v>4.0</v>
      </c>
      <c r="AL163" s="28">
        <v>0.0</v>
      </c>
      <c r="AM163" s="25" t="s">
        <v>67</v>
      </c>
      <c r="AN163" s="25" t="s">
        <v>490</v>
      </c>
      <c r="AO163" s="25" t="s">
        <v>491</v>
      </c>
      <c r="AP163" s="25" t="s">
        <v>226</v>
      </c>
      <c r="AQ163" s="26"/>
      <c r="AR163" s="26"/>
      <c r="AS163" s="26"/>
      <c r="AT163" s="26"/>
      <c r="AU163" s="26"/>
      <c r="AV163" s="25" t="s">
        <v>237</v>
      </c>
    </row>
    <row r="164">
      <c r="A164" s="23">
        <f t="shared" si="5"/>
        <v>161</v>
      </c>
      <c r="B164" s="24" t="s">
        <v>492</v>
      </c>
      <c r="C164" s="26"/>
      <c r="D164" s="24" t="s">
        <v>493</v>
      </c>
      <c r="E164" s="25">
        <v>1.0</v>
      </c>
      <c r="F164" s="39">
        <v>1.0</v>
      </c>
      <c r="G164" s="25">
        <f t="shared" si="1"/>
        <v>2</v>
      </c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26"/>
      <c r="X164" s="26"/>
      <c r="Y164" s="26"/>
      <c r="Z164" s="26"/>
      <c r="AA164" s="27">
        <v>1.0</v>
      </c>
      <c r="AB164" s="26"/>
      <c r="AC164" s="26"/>
      <c r="AD164" s="26"/>
      <c r="AE164" s="26"/>
      <c r="AF164" s="26"/>
      <c r="AG164" s="26"/>
      <c r="AH164" s="26"/>
      <c r="AI164" s="26"/>
      <c r="AJ164" s="26"/>
      <c r="AK164" s="25">
        <v>1.0</v>
      </c>
      <c r="AL164" s="28">
        <v>0.0</v>
      </c>
      <c r="AM164" s="25" t="s">
        <v>67</v>
      </c>
      <c r="AN164" s="25" t="s">
        <v>494</v>
      </c>
      <c r="AO164" s="25" t="s">
        <v>494</v>
      </c>
      <c r="AP164" s="25" t="s">
        <v>226</v>
      </c>
      <c r="AQ164" s="26"/>
      <c r="AR164" s="26"/>
      <c r="AS164" s="26"/>
      <c r="AT164" s="26"/>
      <c r="AU164" s="26"/>
      <c r="AV164" s="25" t="s">
        <v>231</v>
      </c>
    </row>
    <row r="165">
      <c r="A165" s="23">
        <f t="shared" si="5"/>
        <v>162</v>
      </c>
      <c r="B165" s="24" t="s">
        <v>495</v>
      </c>
      <c r="C165" s="26"/>
      <c r="D165" s="24" t="s">
        <v>496</v>
      </c>
      <c r="E165" s="25">
        <v>1.0</v>
      </c>
      <c r="F165" s="39">
        <v>1.0</v>
      </c>
      <c r="G165" s="25">
        <f t="shared" si="1"/>
        <v>2</v>
      </c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26"/>
      <c r="X165" s="26"/>
      <c r="Y165" s="26"/>
      <c r="Z165" s="26"/>
      <c r="AA165" s="27">
        <v>1.0</v>
      </c>
      <c r="AB165" s="26"/>
      <c r="AC165" s="26"/>
      <c r="AD165" s="26"/>
      <c r="AE165" s="26"/>
      <c r="AF165" s="26"/>
      <c r="AG165" s="26"/>
      <c r="AH165" s="26"/>
      <c r="AI165" s="26"/>
      <c r="AJ165" s="26"/>
      <c r="AK165" s="25">
        <v>1.0</v>
      </c>
      <c r="AL165" s="28">
        <v>0.0</v>
      </c>
      <c r="AM165" s="25" t="s">
        <v>67</v>
      </c>
      <c r="AN165" s="25" t="s">
        <v>497</v>
      </c>
      <c r="AO165" s="25" t="s">
        <v>497</v>
      </c>
      <c r="AP165" s="25" t="s">
        <v>226</v>
      </c>
      <c r="AQ165" s="26"/>
      <c r="AR165" s="26"/>
      <c r="AS165" s="26"/>
      <c r="AT165" s="26"/>
      <c r="AU165" s="26"/>
      <c r="AV165" s="25" t="s">
        <v>231</v>
      </c>
    </row>
    <row r="166">
      <c r="A166" s="23">
        <f t="shared" si="5"/>
        <v>163</v>
      </c>
      <c r="B166" s="24" t="s">
        <v>498</v>
      </c>
      <c r="C166" s="26"/>
      <c r="D166" s="24" t="s">
        <v>499</v>
      </c>
      <c r="E166" s="25">
        <v>1.0</v>
      </c>
      <c r="F166" s="39">
        <v>1.0</v>
      </c>
      <c r="G166" s="25">
        <f t="shared" si="1"/>
        <v>2</v>
      </c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26"/>
      <c r="X166" s="26"/>
      <c r="Y166" s="26"/>
      <c r="Z166" s="26"/>
      <c r="AA166" s="27">
        <v>1.0</v>
      </c>
      <c r="AB166" s="26"/>
      <c r="AC166" s="26"/>
      <c r="AD166" s="26"/>
      <c r="AE166" s="26"/>
      <c r="AF166" s="26"/>
      <c r="AG166" s="26"/>
      <c r="AH166" s="26"/>
      <c r="AI166" s="26"/>
      <c r="AJ166" s="26"/>
      <c r="AK166" s="25">
        <v>1.0</v>
      </c>
      <c r="AL166" s="28">
        <v>0.0</v>
      </c>
      <c r="AM166" s="25" t="s">
        <v>67</v>
      </c>
      <c r="AN166" s="25" t="s">
        <v>500</v>
      </c>
      <c r="AO166" s="25" t="s">
        <v>500</v>
      </c>
      <c r="AP166" s="25" t="s">
        <v>226</v>
      </c>
      <c r="AQ166" s="26"/>
      <c r="AR166" s="26"/>
      <c r="AS166" s="26"/>
      <c r="AT166" s="26"/>
      <c r="AU166" s="26"/>
      <c r="AV166" s="25" t="s">
        <v>231</v>
      </c>
    </row>
    <row r="167">
      <c r="A167" s="23">
        <f t="shared" si="5"/>
        <v>164</v>
      </c>
      <c r="B167" s="24" t="s">
        <v>498</v>
      </c>
      <c r="C167" s="26"/>
      <c r="D167" s="24" t="s">
        <v>501</v>
      </c>
      <c r="E167" s="25">
        <v>1.0</v>
      </c>
      <c r="F167" s="39">
        <v>1.0</v>
      </c>
      <c r="G167" s="25">
        <f t="shared" si="1"/>
        <v>2</v>
      </c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26"/>
      <c r="X167" s="26"/>
      <c r="Y167" s="26"/>
      <c r="Z167" s="26"/>
      <c r="AA167" s="27">
        <v>1.0</v>
      </c>
      <c r="AB167" s="26"/>
      <c r="AC167" s="26"/>
      <c r="AD167" s="26"/>
      <c r="AE167" s="26"/>
      <c r="AF167" s="26"/>
      <c r="AG167" s="26"/>
      <c r="AH167" s="26"/>
      <c r="AI167" s="26"/>
      <c r="AJ167" s="26"/>
      <c r="AK167" s="25">
        <v>1.0</v>
      </c>
      <c r="AL167" s="28">
        <v>0.0</v>
      </c>
      <c r="AM167" s="25" t="s">
        <v>67</v>
      </c>
      <c r="AN167" s="25" t="s">
        <v>502</v>
      </c>
      <c r="AO167" s="25" t="s">
        <v>502</v>
      </c>
      <c r="AP167" s="25" t="s">
        <v>226</v>
      </c>
      <c r="AQ167" s="26"/>
      <c r="AR167" s="26"/>
      <c r="AS167" s="26"/>
      <c r="AT167" s="26"/>
      <c r="AU167" s="26"/>
      <c r="AV167" s="25" t="s">
        <v>231</v>
      </c>
    </row>
    <row r="168">
      <c r="A168" s="23">
        <f t="shared" si="5"/>
        <v>165</v>
      </c>
      <c r="B168" s="24" t="s">
        <v>503</v>
      </c>
      <c r="C168" s="24" t="s">
        <v>504</v>
      </c>
      <c r="D168" s="24" t="s">
        <v>505</v>
      </c>
      <c r="E168" s="25">
        <v>62.0</v>
      </c>
      <c r="F168" s="42"/>
      <c r="G168" s="25">
        <f t="shared" si="1"/>
        <v>62</v>
      </c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26"/>
      <c r="X168" s="26"/>
      <c r="Y168" s="26"/>
      <c r="Z168" s="26"/>
      <c r="AA168" s="26"/>
      <c r="AB168" s="26"/>
      <c r="AC168" s="26"/>
      <c r="AD168" s="26"/>
      <c r="AE168" s="27">
        <v>62.0</v>
      </c>
      <c r="AF168" s="26"/>
      <c r="AG168" s="26"/>
      <c r="AH168" s="26"/>
      <c r="AI168" s="26"/>
      <c r="AJ168" s="26"/>
      <c r="AK168" s="25">
        <v>62.0</v>
      </c>
      <c r="AL168" s="28">
        <v>0.0</v>
      </c>
      <c r="AM168" s="25" t="s">
        <v>67</v>
      </c>
      <c r="AN168" s="41">
        <v>263.707</v>
      </c>
      <c r="AO168" s="25" t="s">
        <v>506</v>
      </c>
      <c r="AP168" s="25" t="s">
        <v>435</v>
      </c>
      <c r="AQ168" s="26"/>
      <c r="AR168" s="26"/>
      <c r="AS168" s="26"/>
      <c r="AT168" s="25" t="s">
        <v>507</v>
      </c>
      <c r="AU168" s="26"/>
      <c r="AV168" s="26"/>
    </row>
    <row r="169">
      <c r="A169" s="23">
        <f t="shared" si="5"/>
        <v>166</v>
      </c>
      <c r="B169" s="24" t="s">
        <v>503</v>
      </c>
      <c r="C169" s="24" t="s">
        <v>504</v>
      </c>
      <c r="D169" s="24" t="s">
        <v>508</v>
      </c>
      <c r="E169" s="25">
        <v>55.0</v>
      </c>
      <c r="F169" s="42"/>
      <c r="G169" s="25">
        <f t="shared" si="1"/>
        <v>55</v>
      </c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26"/>
      <c r="X169" s="26"/>
      <c r="Y169" s="26"/>
      <c r="Z169" s="26"/>
      <c r="AA169" s="26"/>
      <c r="AB169" s="26"/>
      <c r="AC169" s="26"/>
      <c r="AD169" s="26"/>
      <c r="AE169" s="27">
        <v>55.0</v>
      </c>
      <c r="AF169" s="26"/>
      <c r="AG169" s="26"/>
      <c r="AH169" s="26"/>
      <c r="AI169" s="26"/>
      <c r="AJ169" s="26"/>
      <c r="AK169" s="25">
        <v>55.0</v>
      </c>
      <c r="AL169" s="28">
        <v>0.0</v>
      </c>
      <c r="AM169" s="25" t="s">
        <v>67</v>
      </c>
      <c r="AN169" s="41">
        <v>263.707</v>
      </c>
      <c r="AO169" s="25" t="s">
        <v>509</v>
      </c>
      <c r="AP169" s="25" t="s">
        <v>435</v>
      </c>
      <c r="AQ169" s="26"/>
      <c r="AR169" s="26"/>
      <c r="AS169" s="26"/>
      <c r="AT169" s="25" t="s">
        <v>510</v>
      </c>
      <c r="AU169" s="26"/>
      <c r="AV169" s="26"/>
    </row>
    <row r="170">
      <c r="A170" s="23">
        <f t="shared" si="5"/>
        <v>167</v>
      </c>
      <c r="B170" s="24" t="s">
        <v>503</v>
      </c>
      <c r="C170" s="24" t="s">
        <v>504</v>
      </c>
      <c r="D170" s="24" t="s">
        <v>511</v>
      </c>
      <c r="E170" s="25">
        <v>26.0</v>
      </c>
      <c r="F170" s="42"/>
      <c r="G170" s="25">
        <f t="shared" si="1"/>
        <v>26</v>
      </c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26"/>
      <c r="X170" s="26"/>
      <c r="Y170" s="26"/>
      <c r="Z170" s="26"/>
      <c r="AA170" s="26"/>
      <c r="AB170" s="26"/>
      <c r="AC170" s="26"/>
      <c r="AD170" s="26"/>
      <c r="AE170" s="27">
        <v>26.0</v>
      </c>
      <c r="AF170" s="26"/>
      <c r="AG170" s="26"/>
      <c r="AH170" s="26"/>
      <c r="AI170" s="26"/>
      <c r="AJ170" s="26"/>
      <c r="AK170" s="25">
        <v>26.0</v>
      </c>
      <c r="AL170" s="28">
        <v>0.0</v>
      </c>
      <c r="AM170" s="25" t="s">
        <v>67</v>
      </c>
      <c r="AN170" s="41">
        <v>263.707</v>
      </c>
      <c r="AO170" s="25" t="s">
        <v>512</v>
      </c>
      <c r="AP170" s="25" t="s">
        <v>435</v>
      </c>
      <c r="AQ170" s="26"/>
      <c r="AR170" s="26"/>
      <c r="AS170" s="26"/>
      <c r="AT170" s="25" t="s">
        <v>470</v>
      </c>
      <c r="AU170" s="26"/>
      <c r="AV170" s="26"/>
    </row>
    <row r="171">
      <c r="A171" s="23">
        <f t="shared" si="5"/>
        <v>168</v>
      </c>
      <c r="B171" s="24" t="s">
        <v>503</v>
      </c>
      <c r="C171" s="24" t="s">
        <v>504</v>
      </c>
      <c r="D171" s="24" t="s">
        <v>513</v>
      </c>
      <c r="E171" s="25">
        <v>26.0</v>
      </c>
      <c r="F171" s="42"/>
      <c r="G171" s="25">
        <f t="shared" si="1"/>
        <v>26</v>
      </c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26"/>
      <c r="X171" s="26"/>
      <c r="Y171" s="26"/>
      <c r="Z171" s="26"/>
      <c r="AA171" s="26"/>
      <c r="AB171" s="26"/>
      <c r="AC171" s="26"/>
      <c r="AD171" s="26"/>
      <c r="AE171" s="27">
        <v>26.0</v>
      </c>
      <c r="AF171" s="26"/>
      <c r="AG171" s="26"/>
      <c r="AH171" s="26"/>
      <c r="AI171" s="26"/>
      <c r="AJ171" s="26"/>
      <c r="AK171" s="25">
        <v>26.0</v>
      </c>
      <c r="AL171" s="28">
        <v>0.0</v>
      </c>
      <c r="AM171" s="25" t="s">
        <v>67</v>
      </c>
      <c r="AN171" s="41">
        <v>263.707</v>
      </c>
      <c r="AO171" s="25" t="s">
        <v>512</v>
      </c>
      <c r="AP171" s="25" t="s">
        <v>435</v>
      </c>
      <c r="AQ171" s="26"/>
      <c r="AR171" s="26"/>
      <c r="AS171" s="26"/>
      <c r="AT171" s="25" t="s">
        <v>470</v>
      </c>
      <c r="AU171" s="26"/>
      <c r="AV171" s="26"/>
    </row>
    <row r="172">
      <c r="A172" s="23">
        <f t="shared" si="5"/>
        <v>169</v>
      </c>
      <c r="B172" s="24" t="s">
        <v>503</v>
      </c>
      <c r="C172" s="24" t="s">
        <v>504</v>
      </c>
      <c r="D172" s="24" t="s">
        <v>514</v>
      </c>
      <c r="E172" s="25">
        <v>3938.0</v>
      </c>
      <c r="F172" s="39">
        <v>2714.0</v>
      </c>
      <c r="G172" s="25">
        <f t="shared" si="1"/>
        <v>6652</v>
      </c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7">
        <v>3938.0</v>
      </c>
      <c r="AJ172" s="26"/>
      <c r="AK172" s="25">
        <v>3938.0</v>
      </c>
      <c r="AL172" s="28">
        <v>0.0</v>
      </c>
      <c r="AM172" s="25" t="s">
        <v>67</v>
      </c>
      <c r="AN172" s="41">
        <v>263.707</v>
      </c>
      <c r="AO172" s="25" t="s">
        <v>515</v>
      </c>
      <c r="AP172" s="25" t="s">
        <v>435</v>
      </c>
      <c r="AQ172" s="26"/>
      <c r="AR172" s="26"/>
      <c r="AS172" s="26"/>
      <c r="AT172" s="25" t="s">
        <v>516</v>
      </c>
      <c r="AU172" s="26"/>
      <c r="AV172" s="26"/>
    </row>
    <row r="173">
      <c r="A173" s="23">
        <f t="shared" si="5"/>
        <v>170</v>
      </c>
      <c r="B173" s="24" t="s">
        <v>503</v>
      </c>
      <c r="C173" s="24" t="s">
        <v>517</v>
      </c>
      <c r="D173" s="24" t="s">
        <v>513</v>
      </c>
      <c r="E173" s="25">
        <v>70.0</v>
      </c>
      <c r="F173" s="39">
        <v>46.0</v>
      </c>
      <c r="G173" s="25">
        <f t="shared" si="1"/>
        <v>116</v>
      </c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7">
        <v>70.0</v>
      </c>
      <c r="AJ173" s="26"/>
      <c r="AK173" s="25">
        <v>70.0</v>
      </c>
      <c r="AL173" s="28">
        <v>0.0</v>
      </c>
      <c r="AM173" s="25" t="s">
        <v>67</v>
      </c>
      <c r="AN173" s="41">
        <v>263.707</v>
      </c>
      <c r="AO173" s="25" t="s">
        <v>518</v>
      </c>
      <c r="AP173" s="25" t="s">
        <v>435</v>
      </c>
      <c r="AQ173" s="26"/>
      <c r="AR173" s="26"/>
      <c r="AS173" s="26"/>
      <c r="AT173" s="25" t="s">
        <v>519</v>
      </c>
      <c r="AU173" s="26"/>
      <c r="AV173" s="26"/>
    </row>
    <row r="174">
      <c r="A174" s="23">
        <f t="shared" si="5"/>
        <v>171</v>
      </c>
      <c r="B174" s="24" t="s">
        <v>503</v>
      </c>
      <c r="C174" s="24" t="s">
        <v>517</v>
      </c>
      <c r="D174" s="24" t="s">
        <v>511</v>
      </c>
      <c r="E174" s="25">
        <v>34.0</v>
      </c>
      <c r="F174" s="39">
        <v>10.0</v>
      </c>
      <c r="G174" s="25">
        <f t="shared" si="1"/>
        <v>44</v>
      </c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7">
        <v>34.0</v>
      </c>
      <c r="AJ174" s="26"/>
      <c r="AK174" s="25">
        <v>34.0</v>
      </c>
      <c r="AL174" s="28">
        <v>0.0</v>
      </c>
      <c r="AM174" s="25" t="s">
        <v>67</v>
      </c>
      <c r="AN174" s="41">
        <v>263.707</v>
      </c>
      <c r="AO174" s="25" t="s">
        <v>520</v>
      </c>
      <c r="AP174" s="25" t="s">
        <v>435</v>
      </c>
      <c r="AQ174" s="26"/>
      <c r="AR174" s="26"/>
      <c r="AS174" s="26"/>
      <c r="AT174" s="25" t="s">
        <v>436</v>
      </c>
      <c r="AU174" s="26"/>
      <c r="AV174" s="26"/>
    </row>
    <row r="175">
      <c r="A175" s="23">
        <f t="shared" si="5"/>
        <v>172</v>
      </c>
      <c r="B175" s="24" t="s">
        <v>503</v>
      </c>
      <c r="C175" s="24" t="s">
        <v>517</v>
      </c>
      <c r="D175" s="24" t="s">
        <v>508</v>
      </c>
      <c r="E175" s="25">
        <v>300.0</v>
      </c>
      <c r="F175" s="39">
        <v>46.0</v>
      </c>
      <c r="G175" s="25">
        <f t="shared" si="1"/>
        <v>346</v>
      </c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7">
        <v>46.0</v>
      </c>
      <c r="AJ175" s="27">
        <v>300.0</v>
      </c>
      <c r="AK175" s="25">
        <v>346.0</v>
      </c>
      <c r="AL175" s="28">
        <v>0.0</v>
      </c>
      <c r="AM175" s="25" t="s">
        <v>67</v>
      </c>
      <c r="AN175" s="41">
        <v>263.707</v>
      </c>
      <c r="AO175" s="25" t="s">
        <v>521</v>
      </c>
      <c r="AP175" s="25" t="s">
        <v>435</v>
      </c>
      <c r="AQ175" s="26"/>
      <c r="AR175" s="26"/>
      <c r="AS175" s="26"/>
      <c r="AT175" s="25" t="s">
        <v>215</v>
      </c>
      <c r="AU175" s="26"/>
      <c r="AV175" s="26"/>
    </row>
    <row r="176">
      <c r="A176" s="23">
        <f t="shared" si="5"/>
        <v>173</v>
      </c>
      <c r="B176" s="24" t="s">
        <v>503</v>
      </c>
      <c r="C176" s="24" t="s">
        <v>517</v>
      </c>
      <c r="D176" s="24" t="s">
        <v>514</v>
      </c>
      <c r="E176" s="25">
        <v>1290.0</v>
      </c>
      <c r="F176" s="39">
        <v>200.0</v>
      </c>
      <c r="G176" s="25">
        <f t="shared" si="1"/>
        <v>1490</v>
      </c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7">
        <v>200.0</v>
      </c>
      <c r="AJ176" s="27">
        <v>1090.0</v>
      </c>
      <c r="AK176" s="25">
        <v>1290.0</v>
      </c>
      <c r="AL176" s="28">
        <v>0.0</v>
      </c>
      <c r="AM176" s="25" t="s">
        <v>67</v>
      </c>
      <c r="AN176" s="41">
        <v>263.707</v>
      </c>
      <c r="AO176" s="25" t="s">
        <v>522</v>
      </c>
      <c r="AP176" s="25" t="s">
        <v>435</v>
      </c>
      <c r="AQ176" s="26"/>
      <c r="AR176" s="26"/>
      <c r="AS176" s="26"/>
      <c r="AT176" s="25" t="s">
        <v>523</v>
      </c>
      <c r="AU176" s="26"/>
      <c r="AV176" s="26"/>
    </row>
    <row r="177">
      <c r="A177" s="23">
        <f t="shared" si="5"/>
        <v>174</v>
      </c>
      <c r="B177" s="24" t="s">
        <v>503</v>
      </c>
      <c r="C177" s="24" t="s">
        <v>517</v>
      </c>
      <c r="D177" s="24" t="s">
        <v>505</v>
      </c>
      <c r="E177" s="25">
        <v>24.0</v>
      </c>
      <c r="F177" s="42"/>
      <c r="G177" s="25">
        <f t="shared" si="1"/>
        <v>24</v>
      </c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7">
        <v>24.0</v>
      </c>
      <c r="AK177" s="25">
        <v>24.0</v>
      </c>
      <c r="AL177" s="28">
        <v>0.0</v>
      </c>
      <c r="AM177" s="25" t="s">
        <v>67</v>
      </c>
      <c r="AN177" s="41">
        <v>263.707</v>
      </c>
      <c r="AO177" s="25" t="s">
        <v>524</v>
      </c>
      <c r="AP177" s="25" t="s">
        <v>435</v>
      </c>
      <c r="AQ177" s="26"/>
      <c r="AR177" s="26"/>
      <c r="AS177" s="26"/>
      <c r="AT177" s="25" t="s">
        <v>525</v>
      </c>
      <c r="AU177" s="26"/>
      <c r="AV177" s="26"/>
    </row>
    <row r="178">
      <c r="A178" s="23">
        <f t="shared" si="5"/>
        <v>175</v>
      </c>
      <c r="B178" s="24" t="s">
        <v>526</v>
      </c>
      <c r="C178" s="26"/>
      <c r="D178" s="24" t="s">
        <v>527</v>
      </c>
      <c r="E178" s="25">
        <v>397.0</v>
      </c>
      <c r="F178" s="39">
        <v>397.0</v>
      </c>
      <c r="G178" s="25">
        <f t="shared" si="1"/>
        <v>794</v>
      </c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7">
        <v>397.0</v>
      </c>
      <c r="AJ178" s="26"/>
      <c r="AK178" s="25">
        <v>397.0</v>
      </c>
      <c r="AL178" s="28">
        <v>0.0</v>
      </c>
      <c r="AM178" s="25" t="s">
        <v>67</v>
      </c>
      <c r="AN178" s="41">
        <v>220.032</v>
      </c>
      <c r="AO178" s="25" t="s">
        <v>528</v>
      </c>
      <c r="AP178" s="25" t="s">
        <v>226</v>
      </c>
      <c r="AQ178" s="26"/>
      <c r="AR178" s="26"/>
      <c r="AS178" s="26"/>
      <c r="AT178" s="26"/>
      <c r="AU178" s="26"/>
      <c r="AV178" s="25" t="s">
        <v>529</v>
      </c>
    </row>
    <row r="179">
      <c r="A179" s="23">
        <f t="shared" si="5"/>
        <v>176</v>
      </c>
      <c r="B179" s="24" t="s">
        <v>530</v>
      </c>
      <c r="C179" s="24" t="s">
        <v>517</v>
      </c>
      <c r="D179" s="24" t="s">
        <v>527</v>
      </c>
      <c r="E179" s="25">
        <v>20.0</v>
      </c>
      <c r="F179" s="39">
        <v>20.0</v>
      </c>
      <c r="G179" s="25">
        <f t="shared" si="1"/>
        <v>40</v>
      </c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7">
        <v>20.0</v>
      </c>
      <c r="AK179" s="25">
        <v>20.0</v>
      </c>
      <c r="AL179" s="28">
        <v>0.0</v>
      </c>
      <c r="AM179" s="25" t="s">
        <v>67</v>
      </c>
      <c r="AN179" s="41">
        <v>220.032</v>
      </c>
      <c r="AO179" s="25" t="s">
        <v>531</v>
      </c>
      <c r="AP179" s="25" t="s">
        <v>226</v>
      </c>
      <c r="AQ179" s="26"/>
      <c r="AR179" s="26"/>
      <c r="AS179" s="26"/>
      <c r="AT179" s="26"/>
      <c r="AU179" s="26"/>
      <c r="AV179" s="25" t="s">
        <v>441</v>
      </c>
    </row>
    <row r="180">
      <c r="A180" s="23">
        <f t="shared" si="5"/>
        <v>177</v>
      </c>
      <c r="B180" s="24" t="s">
        <v>532</v>
      </c>
      <c r="C180" s="24" t="s">
        <v>533</v>
      </c>
      <c r="D180" s="24" t="s">
        <v>534</v>
      </c>
      <c r="E180" s="25">
        <v>4.0</v>
      </c>
      <c r="F180" s="42"/>
      <c r="G180" s="25">
        <f t="shared" si="1"/>
        <v>4</v>
      </c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7">
        <v>4.0</v>
      </c>
      <c r="AJ180" s="26"/>
      <c r="AK180" s="25">
        <v>4.0</v>
      </c>
      <c r="AL180" s="28">
        <v>0.0</v>
      </c>
      <c r="AM180" s="26"/>
      <c r="AN180" s="25" t="s">
        <v>535</v>
      </c>
      <c r="AO180" s="25" t="s">
        <v>536</v>
      </c>
      <c r="AP180" s="25" t="s">
        <v>226</v>
      </c>
      <c r="AQ180" s="26"/>
      <c r="AR180" s="26"/>
      <c r="AS180" s="26"/>
      <c r="AT180" s="26"/>
      <c r="AU180" s="26"/>
      <c r="AV180" s="25" t="s">
        <v>237</v>
      </c>
    </row>
    <row r="181">
      <c r="A181" s="23">
        <f t="shared" si="5"/>
        <v>178</v>
      </c>
      <c r="B181" s="24" t="s">
        <v>532</v>
      </c>
      <c r="C181" s="24" t="s">
        <v>533</v>
      </c>
      <c r="D181" s="24" t="s">
        <v>537</v>
      </c>
      <c r="E181" s="25">
        <v>8.0</v>
      </c>
      <c r="F181" s="42"/>
      <c r="G181" s="25">
        <f t="shared" si="1"/>
        <v>8</v>
      </c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7">
        <v>8.0</v>
      </c>
      <c r="AJ181" s="26"/>
      <c r="AK181" s="25">
        <v>8.0</v>
      </c>
      <c r="AL181" s="28">
        <v>0.0</v>
      </c>
      <c r="AM181" s="26"/>
      <c r="AN181" s="25" t="s">
        <v>538</v>
      </c>
      <c r="AO181" s="25" t="s">
        <v>539</v>
      </c>
      <c r="AP181" s="25" t="s">
        <v>226</v>
      </c>
      <c r="AQ181" s="26"/>
      <c r="AR181" s="26"/>
      <c r="AS181" s="26"/>
      <c r="AT181" s="26"/>
      <c r="AU181" s="26"/>
      <c r="AV181" s="25" t="s">
        <v>404</v>
      </c>
    </row>
    <row r="182">
      <c r="A182" s="23">
        <f t="shared" si="5"/>
        <v>179</v>
      </c>
      <c r="B182" s="24" t="s">
        <v>540</v>
      </c>
      <c r="C182" s="24" t="s">
        <v>541</v>
      </c>
      <c r="D182" s="24" t="s">
        <v>542</v>
      </c>
      <c r="E182" s="25">
        <v>16.0</v>
      </c>
      <c r="F182" s="42"/>
      <c r="G182" s="25">
        <f t="shared" si="1"/>
        <v>16</v>
      </c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26"/>
      <c r="X182" s="26"/>
      <c r="Y182" s="26"/>
      <c r="Z182" s="26"/>
      <c r="AA182" s="26"/>
      <c r="AB182" s="26"/>
      <c r="AC182" s="26"/>
      <c r="AD182" s="26"/>
      <c r="AE182" s="26"/>
      <c r="AF182" s="27">
        <v>16.0</v>
      </c>
      <c r="AG182" s="26"/>
      <c r="AH182" s="26"/>
      <c r="AI182" s="26"/>
      <c r="AJ182" s="26"/>
      <c r="AK182" s="25">
        <v>16.0</v>
      </c>
      <c r="AL182" s="28">
        <v>0.0</v>
      </c>
      <c r="AM182" s="26"/>
      <c r="AN182" s="25" t="s">
        <v>543</v>
      </c>
      <c r="AO182" s="25" t="s">
        <v>544</v>
      </c>
      <c r="AP182" s="25" t="s">
        <v>185</v>
      </c>
      <c r="AQ182" s="26"/>
      <c r="AR182" s="25" t="s">
        <v>320</v>
      </c>
      <c r="AS182" s="26"/>
      <c r="AT182" s="26"/>
      <c r="AU182" s="26"/>
      <c r="AV182" s="26"/>
    </row>
    <row r="183">
      <c r="A183" s="23">
        <f t="shared" si="5"/>
        <v>180</v>
      </c>
      <c r="B183" s="24" t="s">
        <v>540</v>
      </c>
      <c r="C183" s="24" t="s">
        <v>541</v>
      </c>
      <c r="D183" s="24" t="s">
        <v>545</v>
      </c>
      <c r="E183" s="25">
        <v>8.0</v>
      </c>
      <c r="F183" s="42"/>
      <c r="G183" s="25">
        <f t="shared" si="1"/>
        <v>8</v>
      </c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26"/>
      <c r="X183" s="26"/>
      <c r="Y183" s="26"/>
      <c r="Z183" s="26"/>
      <c r="AA183" s="26"/>
      <c r="AB183" s="26"/>
      <c r="AC183" s="26"/>
      <c r="AD183" s="26"/>
      <c r="AE183" s="26"/>
      <c r="AF183" s="27">
        <v>8.0</v>
      </c>
      <c r="AG183" s="26"/>
      <c r="AH183" s="26"/>
      <c r="AI183" s="26"/>
      <c r="AJ183" s="26"/>
      <c r="AK183" s="25">
        <v>8.0</v>
      </c>
      <c r="AL183" s="28">
        <v>0.0</v>
      </c>
      <c r="AM183" s="26"/>
      <c r="AN183" s="25" t="s">
        <v>546</v>
      </c>
      <c r="AO183" s="25" t="s">
        <v>547</v>
      </c>
      <c r="AP183" s="25" t="s">
        <v>185</v>
      </c>
      <c r="AQ183" s="26"/>
      <c r="AR183" s="25" t="s">
        <v>404</v>
      </c>
      <c r="AS183" s="26"/>
      <c r="AT183" s="26"/>
      <c r="AU183" s="26"/>
      <c r="AV183" s="26"/>
    </row>
    <row r="184">
      <c r="A184" s="23">
        <f t="shared" si="5"/>
        <v>181</v>
      </c>
      <c r="B184" s="24" t="s">
        <v>540</v>
      </c>
      <c r="C184" s="24" t="s">
        <v>541</v>
      </c>
      <c r="D184" s="24" t="s">
        <v>548</v>
      </c>
      <c r="E184" s="25">
        <v>144.0</v>
      </c>
      <c r="F184" s="42"/>
      <c r="G184" s="25">
        <f t="shared" si="1"/>
        <v>144</v>
      </c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26"/>
      <c r="X184" s="26"/>
      <c r="Y184" s="26"/>
      <c r="Z184" s="26"/>
      <c r="AA184" s="26"/>
      <c r="AB184" s="26"/>
      <c r="AC184" s="26"/>
      <c r="AD184" s="26"/>
      <c r="AE184" s="26"/>
      <c r="AF184" s="27">
        <v>144.0</v>
      </c>
      <c r="AG184" s="26"/>
      <c r="AH184" s="26"/>
      <c r="AI184" s="26"/>
      <c r="AJ184" s="26"/>
      <c r="AK184" s="25">
        <v>144.0</v>
      </c>
      <c r="AL184" s="28">
        <v>0.0</v>
      </c>
      <c r="AM184" s="26"/>
      <c r="AN184" s="41">
        <v>205.064</v>
      </c>
      <c r="AO184" s="25" t="s">
        <v>549</v>
      </c>
      <c r="AP184" s="25" t="s">
        <v>185</v>
      </c>
      <c r="AQ184" s="26"/>
      <c r="AR184" s="25" t="s">
        <v>550</v>
      </c>
      <c r="AS184" s="26"/>
      <c r="AT184" s="26"/>
      <c r="AU184" s="26"/>
      <c r="AV184" s="26"/>
    </row>
    <row r="185">
      <c r="A185" s="23">
        <f t="shared" si="5"/>
        <v>182</v>
      </c>
      <c r="B185" s="24" t="s">
        <v>540</v>
      </c>
      <c r="C185" s="24" t="s">
        <v>541</v>
      </c>
      <c r="D185" s="24" t="s">
        <v>551</v>
      </c>
      <c r="E185" s="25">
        <v>5.0</v>
      </c>
      <c r="F185" s="39">
        <v>1.0</v>
      </c>
      <c r="G185" s="25">
        <f t="shared" si="1"/>
        <v>6</v>
      </c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26"/>
      <c r="X185" s="26"/>
      <c r="Y185" s="26"/>
      <c r="Z185" s="26"/>
      <c r="AA185" s="26"/>
      <c r="AB185" s="26"/>
      <c r="AC185" s="26"/>
      <c r="AD185" s="26"/>
      <c r="AE185" s="27">
        <v>5.0</v>
      </c>
      <c r="AF185" s="26"/>
      <c r="AG185" s="26"/>
      <c r="AH185" s="26"/>
      <c r="AI185" s="26"/>
      <c r="AJ185" s="26"/>
      <c r="AK185" s="25">
        <v>5.0</v>
      </c>
      <c r="AL185" s="28">
        <v>0.0</v>
      </c>
      <c r="AM185" s="26"/>
      <c r="AN185" s="25" t="s">
        <v>552</v>
      </c>
      <c r="AO185" s="25" t="s">
        <v>553</v>
      </c>
      <c r="AP185" s="25" t="s">
        <v>185</v>
      </c>
      <c r="AQ185" s="26"/>
      <c r="AR185" s="25" t="s">
        <v>227</v>
      </c>
      <c r="AS185" s="26"/>
      <c r="AT185" s="26"/>
      <c r="AU185" s="26"/>
      <c r="AV185" s="26"/>
    </row>
    <row r="186">
      <c r="A186" s="23">
        <f t="shared" si="5"/>
        <v>183</v>
      </c>
      <c r="B186" s="24" t="s">
        <v>554</v>
      </c>
      <c r="C186" s="24" t="s">
        <v>555</v>
      </c>
      <c r="D186" s="24" t="s">
        <v>556</v>
      </c>
      <c r="E186" s="25">
        <v>0.0</v>
      </c>
      <c r="F186" s="42"/>
      <c r="G186" s="25">
        <f t="shared" si="1"/>
        <v>0</v>
      </c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5">
        <v>0.0</v>
      </c>
      <c r="AL186" s="28">
        <v>0.0</v>
      </c>
      <c r="AM186" s="26"/>
      <c r="AN186" s="41">
        <v>291.369</v>
      </c>
      <c r="AO186" s="29">
        <v>0.0</v>
      </c>
      <c r="AP186" s="26"/>
      <c r="AQ186" s="26"/>
      <c r="AR186" s="26"/>
      <c r="AS186" s="26"/>
      <c r="AT186" s="26"/>
      <c r="AU186" s="26"/>
      <c r="AV186" s="26"/>
    </row>
    <row r="187">
      <c r="A187" s="23">
        <f t="shared" si="5"/>
        <v>184</v>
      </c>
      <c r="B187" s="24" t="s">
        <v>554</v>
      </c>
      <c r="C187" s="24" t="s">
        <v>555</v>
      </c>
      <c r="D187" s="24" t="s">
        <v>557</v>
      </c>
      <c r="E187" s="25">
        <v>0.0</v>
      </c>
      <c r="F187" s="42"/>
      <c r="G187" s="25">
        <f t="shared" si="1"/>
        <v>0</v>
      </c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5">
        <v>0.0</v>
      </c>
      <c r="AL187" s="28">
        <v>0.0</v>
      </c>
      <c r="AM187" s="26"/>
      <c r="AN187" s="29">
        <v>0.0</v>
      </c>
      <c r="AO187" s="29">
        <v>0.0</v>
      </c>
      <c r="AP187" s="26"/>
      <c r="AQ187" s="26"/>
      <c r="AR187" s="26"/>
      <c r="AS187" s="26"/>
      <c r="AT187" s="26"/>
      <c r="AU187" s="26"/>
      <c r="AV187" s="26"/>
    </row>
    <row r="188">
      <c r="A188" s="23">
        <f t="shared" si="5"/>
        <v>185</v>
      </c>
      <c r="B188" s="43" t="s">
        <v>413</v>
      </c>
      <c r="C188" s="26"/>
      <c r="D188" s="24" t="s">
        <v>558</v>
      </c>
      <c r="E188" s="25">
        <v>1.0</v>
      </c>
      <c r="F188" s="42"/>
      <c r="G188" s="25">
        <f t="shared" si="1"/>
        <v>1</v>
      </c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26"/>
      <c r="X188" s="26"/>
      <c r="Y188" s="26"/>
      <c r="Z188" s="26"/>
      <c r="AA188" s="27">
        <v>1.0</v>
      </c>
      <c r="AB188" s="26"/>
      <c r="AC188" s="26"/>
      <c r="AD188" s="26"/>
      <c r="AE188" s="26"/>
      <c r="AF188" s="26"/>
      <c r="AG188" s="26"/>
      <c r="AH188" s="26"/>
      <c r="AI188" s="26"/>
      <c r="AJ188" s="26"/>
      <c r="AK188" s="25">
        <v>1.0</v>
      </c>
      <c r="AL188" s="28">
        <v>0.0</v>
      </c>
      <c r="AM188" s="26"/>
      <c r="AN188" s="44" t="s">
        <v>559</v>
      </c>
      <c r="AO188" s="25" t="s">
        <v>559</v>
      </c>
      <c r="AP188" s="25" t="s">
        <v>226</v>
      </c>
      <c r="AQ188" s="26"/>
      <c r="AR188" s="26"/>
      <c r="AS188" s="26"/>
      <c r="AT188" s="26"/>
      <c r="AU188" s="26"/>
      <c r="AV188" s="25" t="s">
        <v>231</v>
      </c>
    </row>
    <row r="189">
      <c r="A189" s="23">
        <f t="shared" si="5"/>
        <v>186</v>
      </c>
      <c r="B189" s="43" t="s">
        <v>413</v>
      </c>
      <c r="C189" s="26"/>
      <c r="D189" s="24" t="s">
        <v>560</v>
      </c>
      <c r="E189" s="25">
        <v>1.0</v>
      </c>
      <c r="F189" s="42"/>
      <c r="G189" s="25">
        <f t="shared" si="1"/>
        <v>1</v>
      </c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26"/>
      <c r="X189" s="26"/>
      <c r="Y189" s="26"/>
      <c r="Z189" s="26"/>
      <c r="AA189" s="27">
        <v>1.0</v>
      </c>
      <c r="AB189" s="26"/>
      <c r="AC189" s="26"/>
      <c r="AD189" s="26"/>
      <c r="AE189" s="26"/>
      <c r="AF189" s="26"/>
      <c r="AG189" s="26"/>
      <c r="AH189" s="26"/>
      <c r="AI189" s="26"/>
      <c r="AJ189" s="26"/>
      <c r="AK189" s="25">
        <v>1.0</v>
      </c>
      <c r="AL189" s="28">
        <v>0.0</v>
      </c>
      <c r="AM189" s="26"/>
      <c r="AN189" s="25" t="s">
        <v>561</v>
      </c>
      <c r="AO189" s="25" t="s">
        <v>561</v>
      </c>
      <c r="AP189" s="25" t="s">
        <v>226</v>
      </c>
      <c r="AQ189" s="26"/>
      <c r="AR189" s="26"/>
      <c r="AS189" s="26"/>
      <c r="AT189" s="26"/>
      <c r="AU189" s="26"/>
      <c r="AV189" s="25" t="s">
        <v>231</v>
      </c>
    </row>
    <row r="190">
      <c r="A190" s="23">
        <f t="shared" si="5"/>
        <v>187</v>
      </c>
      <c r="B190" s="43" t="s">
        <v>459</v>
      </c>
      <c r="C190" s="26"/>
      <c r="D190" s="24" t="s">
        <v>562</v>
      </c>
      <c r="E190" s="25">
        <v>1.0</v>
      </c>
      <c r="F190" s="39">
        <v>1.0</v>
      </c>
      <c r="G190" s="25">
        <f t="shared" si="1"/>
        <v>2</v>
      </c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7">
        <v>1.0</v>
      </c>
      <c r="AJ190" s="26"/>
      <c r="AK190" s="25">
        <v>1.0</v>
      </c>
      <c r="AL190" s="28">
        <v>0.0</v>
      </c>
      <c r="AM190" s="26"/>
      <c r="AN190" s="44" t="s">
        <v>563</v>
      </c>
      <c r="AO190" s="25" t="s">
        <v>563</v>
      </c>
      <c r="AP190" s="25" t="s">
        <v>226</v>
      </c>
      <c r="AQ190" s="26"/>
      <c r="AR190" s="26"/>
      <c r="AS190" s="26"/>
      <c r="AT190" s="26"/>
      <c r="AU190" s="26"/>
      <c r="AV190" s="25" t="s">
        <v>231</v>
      </c>
    </row>
    <row r="191">
      <c r="A191" s="23">
        <f t="shared" si="5"/>
        <v>188</v>
      </c>
      <c r="B191" s="43" t="s">
        <v>564</v>
      </c>
      <c r="C191" s="43" t="s">
        <v>565</v>
      </c>
      <c r="D191" s="24" t="s">
        <v>566</v>
      </c>
      <c r="E191" s="25">
        <v>1.0</v>
      </c>
      <c r="F191" s="39">
        <v>1.0</v>
      </c>
      <c r="G191" s="25">
        <f t="shared" si="1"/>
        <v>2</v>
      </c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7">
        <v>1.0</v>
      </c>
      <c r="AJ191" s="26"/>
      <c r="AK191" s="25">
        <v>1.0</v>
      </c>
      <c r="AL191" s="28">
        <v>0.0</v>
      </c>
      <c r="AM191" s="26"/>
      <c r="AN191" s="25" t="s">
        <v>559</v>
      </c>
      <c r="AO191" s="25" t="s">
        <v>559</v>
      </c>
      <c r="AP191" s="25" t="s">
        <v>226</v>
      </c>
      <c r="AQ191" s="26"/>
      <c r="AR191" s="26"/>
      <c r="AS191" s="26"/>
      <c r="AT191" s="26"/>
      <c r="AU191" s="26"/>
      <c r="AV191" s="25" t="s">
        <v>231</v>
      </c>
    </row>
    <row r="192">
      <c r="A192" s="23">
        <f t="shared" si="5"/>
        <v>189</v>
      </c>
      <c r="B192" s="24" t="s">
        <v>567</v>
      </c>
      <c r="C192" s="24" t="s">
        <v>568</v>
      </c>
      <c r="D192" s="24" t="s">
        <v>569</v>
      </c>
      <c r="E192" s="25">
        <v>5.0</v>
      </c>
      <c r="F192" s="42"/>
      <c r="G192" s="25">
        <f t="shared" si="1"/>
        <v>5</v>
      </c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7">
        <v>5.0</v>
      </c>
      <c r="AJ192" s="26"/>
      <c r="AK192" s="25">
        <v>5.0</v>
      </c>
      <c r="AL192" s="28">
        <v>0.0</v>
      </c>
      <c r="AM192" s="26"/>
      <c r="AN192" s="25" t="s">
        <v>570</v>
      </c>
      <c r="AO192" s="25" t="s">
        <v>571</v>
      </c>
      <c r="AP192" s="25" t="s">
        <v>226</v>
      </c>
      <c r="AQ192" s="26"/>
      <c r="AR192" s="26"/>
      <c r="AS192" s="26"/>
      <c r="AT192" s="26"/>
      <c r="AU192" s="26"/>
      <c r="AV192" s="25" t="s">
        <v>227</v>
      </c>
    </row>
    <row r="193">
      <c r="A193" s="23">
        <f t="shared" si="5"/>
        <v>190</v>
      </c>
      <c r="B193" s="24" t="s">
        <v>572</v>
      </c>
      <c r="C193" s="24" t="s">
        <v>573</v>
      </c>
      <c r="D193" s="24" t="s">
        <v>574</v>
      </c>
      <c r="E193" s="25">
        <v>100.0</v>
      </c>
      <c r="F193" s="42"/>
      <c r="G193" s="25">
        <f t="shared" si="1"/>
        <v>100</v>
      </c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7">
        <v>100.0</v>
      </c>
      <c r="AJ193" s="26"/>
      <c r="AK193" s="25">
        <v>100.0</v>
      </c>
      <c r="AL193" s="28">
        <v>0.0</v>
      </c>
      <c r="AM193" s="26"/>
      <c r="AN193" s="25" t="s">
        <v>575</v>
      </c>
      <c r="AO193" s="25" t="s">
        <v>576</v>
      </c>
      <c r="AP193" s="25" t="s">
        <v>226</v>
      </c>
      <c r="AQ193" s="26"/>
      <c r="AR193" s="26"/>
      <c r="AS193" s="26"/>
      <c r="AT193" s="26"/>
      <c r="AU193" s="26"/>
      <c r="AV193" s="25" t="s">
        <v>577</v>
      </c>
    </row>
    <row r="194">
      <c r="A194" s="23">
        <f t="shared" si="5"/>
        <v>191</v>
      </c>
      <c r="B194" s="24" t="s">
        <v>578</v>
      </c>
      <c r="C194" s="24" t="s">
        <v>579</v>
      </c>
      <c r="D194" s="24" t="s">
        <v>580</v>
      </c>
      <c r="E194" s="25">
        <v>10.0</v>
      </c>
      <c r="F194" s="42"/>
      <c r="G194" s="25">
        <f t="shared" si="1"/>
        <v>10</v>
      </c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26"/>
      <c r="X194" s="27">
        <v>10.0</v>
      </c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5">
        <v>10.0</v>
      </c>
      <c r="AL194" s="28">
        <v>0.0</v>
      </c>
      <c r="AM194" s="26"/>
      <c r="AN194" s="25" t="s">
        <v>581</v>
      </c>
      <c r="AO194" s="25" t="s">
        <v>582</v>
      </c>
      <c r="AP194" s="25" t="s">
        <v>242</v>
      </c>
      <c r="AQ194" s="26"/>
      <c r="AR194" s="26"/>
      <c r="AS194" s="25" t="s">
        <v>259</v>
      </c>
      <c r="AT194" s="26"/>
      <c r="AU194" s="26"/>
      <c r="AV194" s="26"/>
    </row>
    <row r="195">
      <c r="A195" s="23">
        <f t="shared" si="5"/>
        <v>192</v>
      </c>
      <c r="B195" s="24" t="s">
        <v>583</v>
      </c>
      <c r="C195" s="24" t="s">
        <v>584</v>
      </c>
      <c r="D195" s="24" t="s">
        <v>585</v>
      </c>
      <c r="E195" s="25">
        <v>75.0</v>
      </c>
      <c r="F195" s="39">
        <v>74.0</v>
      </c>
      <c r="G195" s="25">
        <f t="shared" si="1"/>
        <v>149</v>
      </c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7">
        <v>75.0</v>
      </c>
      <c r="AJ195" s="26"/>
      <c r="AK195" s="25">
        <v>75.0</v>
      </c>
      <c r="AL195" s="28">
        <v>0.0</v>
      </c>
      <c r="AM195" s="26"/>
      <c r="AN195" s="25" t="s">
        <v>586</v>
      </c>
      <c r="AO195" s="25" t="s">
        <v>587</v>
      </c>
      <c r="AP195" s="25" t="s">
        <v>242</v>
      </c>
      <c r="AQ195" s="26"/>
      <c r="AR195" s="26"/>
      <c r="AS195" s="25" t="s">
        <v>588</v>
      </c>
      <c r="AT195" s="26"/>
      <c r="AU195" s="26"/>
      <c r="AV195" s="26"/>
    </row>
    <row r="196">
      <c r="A196" s="23">
        <f t="shared" si="5"/>
        <v>193</v>
      </c>
      <c r="B196" s="24" t="s">
        <v>578</v>
      </c>
      <c r="C196" s="24" t="s">
        <v>589</v>
      </c>
      <c r="D196" s="24" t="s">
        <v>580</v>
      </c>
      <c r="E196" s="25">
        <v>215.0</v>
      </c>
      <c r="F196" s="42"/>
      <c r="G196" s="25">
        <f t="shared" si="1"/>
        <v>215</v>
      </c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7">
        <v>215.0</v>
      </c>
      <c r="AJ196" s="26"/>
      <c r="AK196" s="25">
        <v>215.0</v>
      </c>
      <c r="AL196" s="28">
        <v>0.0</v>
      </c>
      <c r="AM196" s="26"/>
      <c r="AN196" s="25" t="s">
        <v>581</v>
      </c>
      <c r="AO196" s="25" t="s">
        <v>590</v>
      </c>
      <c r="AP196" s="25" t="s">
        <v>185</v>
      </c>
      <c r="AQ196" s="26"/>
      <c r="AR196" s="25" t="s">
        <v>591</v>
      </c>
      <c r="AS196" s="26"/>
      <c r="AT196" s="26"/>
      <c r="AU196" s="26"/>
      <c r="AV196" s="26"/>
    </row>
    <row r="197">
      <c r="A197" s="23">
        <f t="shared" si="5"/>
        <v>194</v>
      </c>
      <c r="B197" s="24" t="s">
        <v>592</v>
      </c>
      <c r="C197" s="26"/>
      <c r="D197" s="24" t="s">
        <v>593</v>
      </c>
      <c r="E197" s="25">
        <v>41.0</v>
      </c>
      <c r="F197" s="39">
        <v>41.0</v>
      </c>
      <c r="G197" s="25">
        <f t="shared" si="1"/>
        <v>82</v>
      </c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7">
        <v>41.0</v>
      </c>
      <c r="AJ197" s="26"/>
      <c r="AK197" s="25">
        <v>41.0</v>
      </c>
      <c r="AL197" s="28">
        <v>0.0</v>
      </c>
      <c r="AM197" s="26"/>
      <c r="AN197" s="25" t="s">
        <v>594</v>
      </c>
      <c r="AO197" s="25" t="s">
        <v>595</v>
      </c>
      <c r="AP197" s="25" t="s">
        <v>226</v>
      </c>
      <c r="AQ197" s="26"/>
      <c r="AR197" s="26"/>
      <c r="AS197" s="26"/>
      <c r="AT197" s="26"/>
      <c r="AU197" s="26"/>
      <c r="AV197" s="25" t="s">
        <v>596</v>
      </c>
    </row>
    <row r="198">
      <c r="A198" s="23">
        <f t="shared" si="5"/>
        <v>195</v>
      </c>
      <c r="B198" s="24" t="s">
        <v>592</v>
      </c>
      <c r="C198" s="26"/>
      <c r="D198" s="24" t="s">
        <v>597</v>
      </c>
      <c r="E198" s="25">
        <v>9.0</v>
      </c>
      <c r="F198" s="39">
        <v>9.0</v>
      </c>
      <c r="G198" s="25">
        <f t="shared" si="1"/>
        <v>18</v>
      </c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7">
        <v>9.0</v>
      </c>
      <c r="AJ198" s="26"/>
      <c r="AK198" s="25">
        <v>9.0</v>
      </c>
      <c r="AL198" s="28">
        <v>0.0</v>
      </c>
      <c r="AM198" s="26"/>
      <c r="AN198" s="25" t="s">
        <v>598</v>
      </c>
      <c r="AO198" s="25" t="s">
        <v>599</v>
      </c>
      <c r="AP198" s="25" t="s">
        <v>226</v>
      </c>
      <c r="AQ198" s="26"/>
      <c r="AR198" s="26"/>
      <c r="AS198" s="26"/>
      <c r="AT198" s="26"/>
      <c r="AU198" s="26"/>
      <c r="AV198" s="25" t="s">
        <v>186</v>
      </c>
    </row>
    <row r="199">
      <c r="A199" s="23">
        <f t="shared" si="5"/>
        <v>196</v>
      </c>
      <c r="B199" s="24" t="s">
        <v>600</v>
      </c>
      <c r="C199" s="26"/>
      <c r="D199" s="24" t="s">
        <v>601</v>
      </c>
      <c r="E199" s="25">
        <v>13.0</v>
      </c>
      <c r="F199" s="39">
        <v>13.0</v>
      </c>
      <c r="G199" s="25">
        <f t="shared" si="1"/>
        <v>26</v>
      </c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7">
        <v>13.0</v>
      </c>
      <c r="AJ199" s="26"/>
      <c r="AK199" s="25">
        <v>13.0</v>
      </c>
      <c r="AL199" s="28">
        <v>0.0</v>
      </c>
      <c r="AM199" s="26"/>
      <c r="AN199" s="25" t="s">
        <v>602</v>
      </c>
      <c r="AO199" s="25" t="s">
        <v>603</v>
      </c>
      <c r="AP199" s="25" t="s">
        <v>226</v>
      </c>
      <c r="AQ199" s="26"/>
      <c r="AR199" s="26"/>
      <c r="AS199" s="26"/>
      <c r="AT199" s="26"/>
      <c r="AU199" s="26"/>
      <c r="AV199" s="25" t="s">
        <v>604</v>
      </c>
    </row>
    <row r="200">
      <c r="A200" s="23">
        <f t="shared" si="5"/>
        <v>197</v>
      </c>
      <c r="B200" s="24" t="s">
        <v>605</v>
      </c>
      <c r="C200" s="24" t="s">
        <v>606</v>
      </c>
      <c r="D200" s="24" t="s">
        <v>607</v>
      </c>
      <c r="E200" s="25">
        <v>96.0</v>
      </c>
      <c r="F200" s="42"/>
      <c r="G200" s="25">
        <f t="shared" si="1"/>
        <v>96</v>
      </c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27">
        <v>96.0</v>
      </c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5">
        <v>96.0</v>
      </c>
      <c r="AL200" s="28">
        <v>0.0</v>
      </c>
      <c r="AM200" s="26"/>
      <c r="AN200" s="41">
        <v>361.966</v>
      </c>
      <c r="AO200" s="25" t="s">
        <v>608</v>
      </c>
      <c r="AP200" s="25" t="s">
        <v>190</v>
      </c>
      <c r="AQ200" s="25" t="s">
        <v>346</v>
      </c>
      <c r="AR200" s="26"/>
      <c r="AS200" s="26"/>
      <c r="AT200" s="26"/>
      <c r="AU200" s="26"/>
      <c r="AV200" s="26"/>
    </row>
    <row r="201">
      <c r="A201" s="23">
        <f t="shared" si="5"/>
        <v>198</v>
      </c>
      <c r="B201" s="24" t="s">
        <v>605</v>
      </c>
      <c r="C201" s="24" t="s">
        <v>606</v>
      </c>
      <c r="D201" s="24" t="s">
        <v>609</v>
      </c>
      <c r="E201" s="25">
        <v>18.0</v>
      </c>
      <c r="F201" s="42"/>
      <c r="G201" s="25">
        <f t="shared" si="1"/>
        <v>18</v>
      </c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27">
        <v>18.0</v>
      </c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5">
        <v>18.0</v>
      </c>
      <c r="AL201" s="28">
        <v>0.0</v>
      </c>
      <c r="AM201" s="26"/>
      <c r="AN201" s="41">
        <v>494.984</v>
      </c>
      <c r="AO201" s="25" t="s">
        <v>610</v>
      </c>
      <c r="AP201" s="25" t="s">
        <v>190</v>
      </c>
      <c r="AQ201" s="25" t="s">
        <v>611</v>
      </c>
      <c r="AR201" s="26"/>
      <c r="AS201" s="26"/>
      <c r="AT201" s="26"/>
      <c r="AU201" s="26"/>
      <c r="AV201" s="26"/>
    </row>
    <row r="202">
      <c r="A202" s="23">
        <f t="shared" si="5"/>
        <v>199</v>
      </c>
      <c r="B202" s="24" t="s">
        <v>612</v>
      </c>
      <c r="C202" s="26"/>
      <c r="D202" s="24" t="s">
        <v>613</v>
      </c>
      <c r="E202" s="25">
        <v>10.0</v>
      </c>
      <c r="F202" s="39">
        <v>10.0</v>
      </c>
      <c r="G202" s="25">
        <f t="shared" si="1"/>
        <v>20</v>
      </c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26"/>
      <c r="X202" s="26"/>
      <c r="Y202" s="26"/>
      <c r="Z202" s="26"/>
      <c r="AA202" s="27">
        <v>10.0</v>
      </c>
      <c r="AB202" s="26"/>
      <c r="AC202" s="26"/>
      <c r="AD202" s="26"/>
      <c r="AE202" s="26"/>
      <c r="AF202" s="26"/>
      <c r="AG202" s="26"/>
      <c r="AH202" s="26"/>
      <c r="AI202" s="26"/>
      <c r="AJ202" s="26"/>
      <c r="AK202" s="25">
        <v>10.0</v>
      </c>
      <c r="AL202" s="28">
        <v>0.0</v>
      </c>
      <c r="AM202" s="26"/>
      <c r="AN202" s="41">
        <v>361.966</v>
      </c>
      <c r="AO202" s="25" t="s">
        <v>614</v>
      </c>
      <c r="AP202" s="25" t="s">
        <v>226</v>
      </c>
      <c r="AQ202" s="26"/>
      <c r="AR202" s="26"/>
      <c r="AS202" s="26"/>
      <c r="AT202" s="26"/>
      <c r="AU202" s="26"/>
      <c r="AV202" s="25" t="s">
        <v>259</v>
      </c>
    </row>
    <row r="203">
      <c r="A203" s="23">
        <f t="shared" si="5"/>
        <v>200</v>
      </c>
      <c r="B203" s="24" t="s">
        <v>615</v>
      </c>
      <c r="C203" s="26"/>
      <c r="D203" s="24" t="s">
        <v>616</v>
      </c>
      <c r="E203" s="25">
        <v>48.0</v>
      </c>
      <c r="F203" s="39">
        <v>45.0</v>
      </c>
      <c r="G203" s="25">
        <f t="shared" si="1"/>
        <v>93</v>
      </c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26"/>
      <c r="X203" s="26"/>
      <c r="Y203" s="26"/>
      <c r="Z203" s="26"/>
      <c r="AA203" s="27">
        <v>45.0</v>
      </c>
      <c r="AB203" s="26"/>
      <c r="AC203" s="26"/>
      <c r="AD203" s="26"/>
      <c r="AE203" s="26"/>
      <c r="AF203" s="26"/>
      <c r="AG203" s="26"/>
      <c r="AH203" s="26"/>
      <c r="AI203" s="26"/>
      <c r="AJ203" s="26"/>
      <c r="AK203" s="25">
        <v>45.0</v>
      </c>
      <c r="AL203" s="28">
        <v>0.0</v>
      </c>
      <c r="AM203" s="26"/>
      <c r="AN203" s="41">
        <v>361.966</v>
      </c>
      <c r="AO203" s="25" t="s">
        <v>617</v>
      </c>
      <c r="AP203" s="25" t="s">
        <v>226</v>
      </c>
      <c r="AQ203" s="26"/>
      <c r="AR203" s="26"/>
      <c r="AS203" s="26"/>
      <c r="AT203" s="26"/>
      <c r="AU203" s="26"/>
      <c r="AV203" s="25" t="s">
        <v>618</v>
      </c>
    </row>
    <row r="204">
      <c r="A204" s="23">
        <f t="shared" si="5"/>
        <v>201</v>
      </c>
      <c r="B204" s="24" t="s">
        <v>619</v>
      </c>
      <c r="C204" s="26"/>
      <c r="D204" s="24" t="s">
        <v>620</v>
      </c>
      <c r="E204" s="25">
        <v>1.0</v>
      </c>
      <c r="F204" s="39">
        <v>1.0</v>
      </c>
      <c r="G204" s="25">
        <f t="shared" si="1"/>
        <v>2</v>
      </c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26"/>
      <c r="X204" s="26"/>
      <c r="Y204" s="26"/>
      <c r="Z204" s="26"/>
      <c r="AA204" s="27">
        <v>1.0</v>
      </c>
      <c r="AB204" s="26"/>
      <c r="AC204" s="26"/>
      <c r="AD204" s="26"/>
      <c r="AE204" s="26"/>
      <c r="AF204" s="26"/>
      <c r="AG204" s="26"/>
      <c r="AH204" s="26"/>
      <c r="AI204" s="26"/>
      <c r="AJ204" s="26"/>
      <c r="AK204" s="25">
        <v>1.0</v>
      </c>
      <c r="AL204" s="28">
        <v>0.0</v>
      </c>
      <c r="AM204" s="26"/>
      <c r="AN204" s="41">
        <v>494.984</v>
      </c>
      <c r="AO204" s="41">
        <v>494.984</v>
      </c>
      <c r="AP204" s="25" t="s">
        <v>226</v>
      </c>
      <c r="AQ204" s="26"/>
      <c r="AR204" s="26"/>
      <c r="AS204" s="26"/>
      <c r="AT204" s="26"/>
      <c r="AU204" s="26"/>
      <c r="AV204" s="25" t="s">
        <v>231</v>
      </c>
    </row>
    <row r="205">
      <c r="A205" s="23">
        <f t="shared" si="5"/>
        <v>202</v>
      </c>
      <c r="B205" s="24" t="s">
        <v>621</v>
      </c>
      <c r="C205" s="24" t="s">
        <v>622</v>
      </c>
      <c r="D205" s="24" t="s">
        <v>623</v>
      </c>
      <c r="E205" s="25">
        <v>1.0</v>
      </c>
      <c r="F205" s="42"/>
      <c r="G205" s="25">
        <f t="shared" si="1"/>
        <v>1</v>
      </c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7">
        <v>1.0</v>
      </c>
      <c r="AJ205" s="26"/>
      <c r="AK205" s="25">
        <v>1.0</v>
      </c>
      <c r="AL205" s="28">
        <v>0.0</v>
      </c>
      <c r="AM205" s="26"/>
      <c r="AN205" s="25" t="s">
        <v>624</v>
      </c>
      <c r="AO205" s="25" t="s">
        <v>624</v>
      </c>
      <c r="AP205" s="25" t="s">
        <v>226</v>
      </c>
      <c r="AQ205" s="26"/>
      <c r="AR205" s="26"/>
      <c r="AS205" s="26"/>
      <c r="AT205" s="26"/>
      <c r="AU205" s="26"/>
      <c r="AV205" s="25" t="s">
        <v>231</v>
      </c>
    </row>
    <row r="206">
      <c r="A206" s="23">
        <f t="shared" si="5"/>
        <v>203</v>
      </c>
      <c r="B206" s="24" t="s">
        <v>621</v>
      </c>
      <c r="C206" s="24" t="s">
        <v>625</v>
      </c>
      <c r="D206" s="24" t="s">
        <v>626</v>
      </c>
      <c r="E206" s="25">
        <v>1.0</v>
      </c>
      <c r="F206" s="42"/>
      <c r="G206" s="25">
        <f t="shared" si="1"/>
        <v>1</v>
      </c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7">
        <v>1.0</v>
      </c>
      <c r="AJ206" s="26"/>
      <c r="AK206" s="25">
        <v>1.0</v>
      </c>
      <c r="AL206" s="28">
        <v>0.0</v>
      </c>
      <c r="AM206" s="26"/>
      <c r="AN206" s="25" t="s">
        <v>627</v>
      </c>
      <c r="AO206" s="25" t="s">
        <v>627</v>
      </c>
      <c r="AP206" s="25" t="s">
        <v>226</v>
      </c>
      <c r="AQ206" s="26"/>
      <c r="AR206" s="26"/>
      <c r="AS206" s="26"/>
      <c r="AT206" s="26"/>
      <c r="AU206" s="26"/>
      <c r="AV206" s="25" t="s">
        <v>231</v>
      </c>
    </row>
    <row r="207">
      <c r="A207" s="23">
        <f t="shared" si="5"/>
        <v>204</v>
      </c>
      <c r="B207" s="24" t="s">
        <v>628</v>
      </c>
      <c r="C207" s="24" t="s">
        <v>629</v>
      </c>
      <c r="D207" s="24" t="s">
        <v>630</v>
      </c>
      <c r="E207" s="25">
        <v>8.0</v>
      </c>
      <c r="F207" s="42"/>
      <c r="G207" s="25">
        <f t="shared" si="1"/>
        <v>8</v>
      </c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7">
        <v>8.0</v>
      </c>
      <c r="AK207" s="25">
        <v>8.0</v>
      </c>
      <c r="AL207" s="28">
        <v>0.0</v>
      </c>
      <c r="AM207" s="26"/>
      <c r="AN207" s="25" t="s">
        <v>631</v>
      </c>
      <c r="AO207" s="25" t="s">
        <v>632</v>
      </c>
      <c r="AP207" s="25" t="s">
        <v>242</v>
      </c>
      <c r="AQ207" s="26"/>
      <c r="AR207" s="26"/>
      <c r="AS207" s="25" t="s">
        <v>404</v>
      </c>
      <c r="AT207" s="26"/>
      <c r="AU207" s="26"/>
      <c r="AV207" s="26"/>
    </row>
    <row r="208">
      <c r="A208" s="23">
        <f t="shared" si="5"/>
        <v>205</v>
      </c>
      <c r="B208" s="24" t="s">
        <v>628</v>
      </c>
      <c r="C208" s="24" t="s">
        <v>629</v>
      </c>
      <c r="D208" s="24" t="s">
        <v>633</v>
      </c>
      <c r="E208" s="25">
        <v>4.0</v>
      </c>
      <c r="F208" s="42"/>
      <c r="G208" s="25">
        <f t="shared" si="1"/>
        <v>4</v>
      </c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7">
        <v>4.0</v>
      </c>
      <c r="AK208" s="25">
        <v>4.0</v>
      </c>
      <c r="AL208" s="28">
        <v>0.0</v>
      </c>
      <c r="AM208" s="26"/>
      <c r="AN208" s="25" t="s">
        <v>634</v>
      </c>
      <c r="AO208" s="25" t="s">
        <v>635</v>
      </c>
      <c r="AP208" s="25" t="s">
        <v>242</v>
      </c>
      <c r="AQ208" s="26"/>
      <c r="AR208" s="26"/>
      <c r="AS208" s="25" t="s">
        <v>237</v>
      </c>
      <c r="AT208" s="26"/>
      <c r="AU208" s="26"/>
      <c r="AV208" s="26"/>
    </row>
    <row r="209">
      <c r="A209" s="23">
        <f t="shared" si="5"/>
        <v>206</v>
      </c>
      <c r="B209" s="24" t="s">
        <v>628</v>
      </c>
      <c r="C209" s="24" t="s">
        <v>629</v>
      </c>
      <c r="D209" s="24" t="s">
        <v>630</v>
      </c>
      <c r="E209" s="25">
        <v>4.0</v>
      </c>
      <c r="F209" s="42"/>
      <c r="G209" s="25">
        <f t="shared" si="1"/>
        <v>4</v>
      </c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7">
        <v>4.0</v>
      </c>
      <c r="AK209" s="25">
        <v>4.0</v>
      </c>
      <c r="AL209" s="28">
        <v>0.0</v>
      </c>
      <c r="AM209" s="26"/>
      <c r="AN209" s="25" t="s">
        <v>636</v>
      </c>
      <c r="AO209" s="25" t="s">
        <v>637</v>
      </c>
      <c r="AP209" s="25" t="s">
        <v>242</v>
      </c>
      <c r="AQ209" s="26"/>
      <c r="AR209" s="26"/>
      <c r="AS209" s="25" t="s">
        <v>237</v>
      </c>
      <c r="AT209" s="26"/>
      <c r="AU209" s="26"/>
      <c r="AV209" s="26"/>
    </row>
    <row r="210">
      <c r="A210" s="23">
        <f t="shared" si="5"/>
        <v>207</v>
      </c>
      <c r="B210" s="24" t="s">
        <v>628</v>
      </c>
      <c r="C210" s="24" t="s">
        <v>629</v>
      </c>
      <c r="D210" s="45" t="s">
        <v>638</v>
      </c>
      <c r="E210" s="25">
        <v>6.0</v>
      </c>
      <c r="F210" s="42"/>
      <c r="G210" s="25">
        <f t="shared" si="1"/>
        <v>6</v>
      </c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7">
        <v>6.0</v>
      </c>
      <c r="AK210" s="25">
        <v>6.0</v>
      </c>
      <c r="AL210" s="28">
        <v>0.0</v>
      </c>
      <c r="AM210" s="26"/>
      <c r="AN210" s="25" t="s">
        <v>639</v>
      </c>
      <c r="AO210" s="25" t="s">
        <v>640</v>
      </c>
      <c r="AP210" s="25" t="s">
        <v>242</v>
      </c>
      <c r="AQ210" s="26"/>
      <c r="AR210" s="26"/>
      <c r="AS210" s="25" t="s">
        <v>290</v>
      </c>
      <c r="AT210" s="26"/>
      <c r="AU210" s="26"/>
      <c r="AV210" s="26"/>
    </row>
    <row r="211">
      <c r="A211" s="23">
        <f t="shared" si="5"/>
        <v>208</v>
      </c>
      <c r="B211" s="24" t="s">
        <v>641</v>
      </c>
      <c r="C211" s="24" t="s">
        <v>642</v>
      </c>
      <c r="D211" s="45" t="s">
        <v>643</v>
      </c>
      <c r="E211" s="25">
        <v>0.0</v>
      </c>
      <c r="F211" s="42"/>
      <c r="G211" s="25">
        <f t="shared" si="1"/>
        <v>0</v>
      </c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5">
        <v>0.0</v>
      </c>
      <c r="AL211" s="28">
        <v>0.0</v>
      </c>
      <c r="AM211" s="26"/>
      <c r="AN211" s="29">
        <v>0.0</v>
      </c>
      <c r="AO211" s="29">
        <v>0.0</v>
      </c>
      <c r="AP211" s="26"/>
      <c r="AQ211" s="26"/>
      <c r="AR211" s="26"/>
      <c r="AS211" s="26"/>
      <c r="AT211" s="26"/>
      <c r="AU211" s="26"/>
      <c r="AV211" s="26"/>
    </row>
    <row r="212">
      <c r="A212" s="23">
        <f t="shared" si="5"/>
        <v>209</v>
      </c>
      <c r="B212" s="43" t="s">
        <v>413</v>
      </c>
      <c r="C212" s="26"/>
      <c r="D212" s="24" t="s">
        <v>644</v>
      </c>
      <c r="E212" s="25">
        <v>135.0</v>
      </c>
      <c r="F212" s="42"/>
      <c r="G212" s="25">
        <f t="shared" si="1"/>
        <v>135</v>
      </c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26"/>
      <c r="X212" s="26"/>
      <c r="Y212" s="26"/>
      <c r="Z212" s="26"/>
      <c r="AA212" s="26"/>
      <c r="AB212" s="26"/>
      <c r="AC212" s="26"/>
      <c r="AD212" s="27">
        <v>135.0</v>
      </c>
      <c r="AE212" s="26"/>
      <c r="AF212" s="26"/>
      <c r="AG212" s="26"/>
      <c r="AH212" s="26"/>
      <c r="AI212" s="26"/>
      <c r="AJ212" s="26"/>
      <c r="AK212" s="25">
        <v>135.0</v>
      </c>
      <c r="AL212" s="28">
        <v>0.0</v>
      </c>
      <c r="AM212" s="26"/>
      <c r="AN212" s="25" t="s">
        <v>645</v>
      </c>
      <c r="AO212" s="26"/>
      <c r="AP212" s="26"/>
      <c r="AQ212" s="26"/>
      <c r="AR212" s="26"/>
      <c r="AS212" s="26"/>
      <c r="AT212" s="26"/>
      <c r="AU212" s="26"/>
      <c r="AV212" s="25" t="s">
        <v>646</v>
      </c>
    </row>
    <row r="213">
      <c r="A213" s="23">
        <f t="shared" si="5"/>
        <v>210</v>
      </c>
      <c r="B213" s="43" t="s">
        <v>413</v>
      </c>
      <c r="C213" s="26"/>
      <c r="D213" s="24" t="s">
        <v>644</v>
      </c>
      <c r="E213" s="25">
        <v>145.0</v>
      </c>
      <c r="F213" s="42"/>
      <c r="G213" s="25">
        <f t="shared" si="1"/>
        <v>145</v>
      </c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26"/>
      <c r="X213" s="26"/>
      <c r="Y213" s="26"/>
      <c r="Z213" s="26"/>
      <c r="AA213" s="26"/>
      <c r="AB213" s="26"/>
      <c r="AC213" s="26"/>
      <c r="AD213" s="27">
        <v>145.0</v>
      </c>
      <c r="AE213" s="26"/>
      <c r="AF213" s="26"/>
      <c r="AG213" s="26"/>
      <c r="AH213" s="26"/>
      <c r="AI213" s="26"/>
      <c r="AJ213" s="26"/>
      <c r="AK213" s="25">
        <v>145.0</v>
      </c>
      <c r="AL213" s="28">
        <v>0.0</v>
      </c>
      <c r="AM213" s="26"/>
      <c r="AN213" s="25" t="s">
        <v>647</v>
      </c>
      <c r="AO213" s="26"/>
      <c r="AP213" s="26"/>
      <c r="AQ213" s="26"/>
      <c r="AR213" s="26"/>
      <c r="AS213" s="26"/>
      <c r="AT213" s="26"/>
      <c r="AU213" s="26"/>
      <c r="AV213" s="25" t="s">
        <v>648</v>
      </c>
    </row>
    <row r="214">
      <c r="D214" s="46" t="s">
        <v>649</v>
      </c>
      <c r="E214" s="47">
        <f t="shared" ref="E214:AV214" si="6">SUM(E4:E213)</f>
        <v>21164.864</v>
      </c>
      <c r="F214" s="48">
        <f t="shared" si="6"/>
        <v>4774</v>
      </c>
      <c r="G214" s="47">
        <f t="shared" si="6"/>
        <v>25938.864</v>
      </c>
      <c r="H214" s="48">
        <f t="shared" si="6"/>
        <v>0</v>
      </c>
      <c r="I214" s="48">
        <f t="shared" si="6"/>
        <v>687</v>
      </c>
      <c r="J214" s="48">
        <f t="shared" si="6"/>
        <v>368</v>
      </c>
      <c r="K214" s="48">
        <f t="shared" si="6"/>
        <v>235</v>
      </c>
      <c r="L214" s="48">
        <f t="shared" si="6"/>
        <v>42</v>
      </c>
      <c r="M214" s="48">
        <f t="shared" si="6"/>
        <v>536</v>
      </c>
      <c r="N214" s="48">
        <f t="shared" si="6"/>
        <v>3784</v>
      </c>
      <c r="O214" s="48">
        <f t="shared" si="6"/>
        <v>3249</v>
      </c>
      <c r="P214" s="48">
        <f t="shared" si="6"/>
        <v>131</v>
      </c>
      <c r="Q214" s="48">
        <f t="shared" si="6"/>
        <v>0</v>
      </c>
      <c r="R214" s="48">
        <f t="shared" si="6"/>
        <v>0</v>
      </c>
      <c r="S214" s="48">
        <f t="shared" si="6"/>
        <v>137</v>
      </c>
      <c r="T214" s="48">
        <f t="shared" si="6"/>
        <v>0</v>
      </c>
      <c r="U214" s="48">
        <f t="shared" si="6"/>
        <v>685</v>
      </c>
      <c r="V214" s="48">
        <f t="shared" si="6"/>
        <v>23</v>
      </c>
      <c r="W214" s="48">
        <f t="shared" si="6"/>
        <v>114</v>
      </c>
      <c r="X214" s="48">
        <f t="shared" si="6"/>
        <v>10</v>
      </c>
      <c r="Y214" s="48">
        <f t="shared" si="6"/>
        <v>0</v>
      </c>
      <c r="Z214" s="48">
        <f t="shared" si="6"/>
        <v>1049</v>
      </c>
      <c r="AA214" s="48">
        <f t="shared" si="6"/>
        <v>277</v>
      </c>
      <c r="AB214" s="48">
        <f t="shared" si="6"/>
        <v>1149</v>
      </c>
      <c r="AC214" s="48">
        <f t="shared" si="6"/>
        <v>1146</v>
      </c>
      <c r="AD214" s="48">
        <f t="shared" si="6"/>
        <v>381</v>
      </c>
      <c r="AE214" s="48">
        <f t="shared" si="6"/>
        <v>986</v>
      </c>
      <c r="AF214" s="48">
        <f t="shared" si="6"/>
        <v>168</v>
      </c>
      <c r="AG214" s="48">
        <f t="shared" si="6"/>
        <v>566</v>
      </c>
      <c r="AH214" s="48">
        <f t="shared" si="6"/>
        <v>723</v>
      </c>
      <c r="AI214" s="48">
        <f t="shared" si="6"/>
        <v>5650</v>
      </c>
      <c r="AJ214" s="48">
        <f t="shared" si="6"/>
        <v>1714</v>
      </c>
      <c r="AK214" s="48">
        <f t="shared" si="6"/>
        <v>23810</v>
      </c>
      <c r="AL214" s="48">
        <f t="shared" si="6"/>
        <v>8</v>
      </c>
      <c r="AM214" s="48">
        <f t="shared" si="6"/>
        <v>0</v>
      </c>
      <c r="AN214" s="49">
        <f t="shared" si="6"/>
        <v>687505142.8</v>
      </c>
      <c r="AO214" s="49">
        <f t="shared" si="6"/>
        <v>41941604561</v>
      </c>
      <c r="AP214" s="50">
        <f t="shared" si="6"/>
        <v>0</v>
      </c>
      <c r="AQ214" s="50">
        <f t="shared" si="6"/>
        <v>0</v>
      </c>
      <c r="AR214" s="50">
        <f t="shared" si="6"/>
        <v>807</v>
      </c>
      <c r="AS214" s="50">
        <f t="shared" si="6"/>
        <v>4184.262</v>
      </c>
      <c r="AT214" s="50">
        <f t="shared" si="6"/>
        <v>0</v>
      </c>
      <c r="AU214" s="50">
        <f t="shared" si="6"/>
        <v>254</v>
      </c>
      <c r="AV214" s="50">
        <f t="shared" si="6"/>
        <v>1770.602</v>
      </c>
    </row>
  </sheetData>
  <mergeCells count="19">
    <mergeCell ref="A1:A3"/>
    <mergeCell ref="B1:B3"/>
    <mergeCell ref="C1:C3"/>
    <mergeCell ref="D1:D3"/>
    <mergeCell ref="E1:F1"/>
    <mergeCell ref="G1:G3"/>
    <mergeCell ref="H1:AJ2"/>
    <mergeCell ref="AR1:AR2"/>
    <mergeCell ref="AS1:AS2"/>
    <mergeCell ref="AT1:AT2"/>
    <mergeCell ref="AU1:AU2"/>
    <mergeCell ref="AV1:AV2"/>
    <mergeCell ref="AK1:AK3"/>
    <mergeCell ref="AL1:AL3"/>
    <mergeCell ref="AM1:AM3"/>
    <mergeCell ref="AN1:AN3"/>
    <mergeCell ref="AO1:AO3"/>
    <mergeCell ref="AP1:AP3"/>
    <mergeCell ref="AQ1:AQ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51" t="s">
        <v>650</v>
      </c>
      <c r="B1" s="52" t="s">
        <v>651</v>
      </c>
      <c r="C1" s="52" t="s">
        <v>652</v>
      </c>
      <c r="D1" s="52" t="s">
        <v>653</v>
      </c>
      <c r="E1" s="52" t="s">
        <v>654</v>
      </c>
      <c r="F1" s="53" t="s">
        <v>655</v>
      </c>
      <c r="G1" s="54" t="s">
        <v>656</v>
      </c>
    </row>
    <row r="2">
      <c r="A2" s="55">
        <v>1.0</v>
      </c>
      <c r="B2" s="56" t="s">
        <v>657</v>
      </c>
      <c r="C2" s="56">
        <v>330.0</v>
      </c>
      <c r="D2" s="56">
        <v>650.0</v>
      </c>
      <c r="E2" s="56">
        <v>85.0</v>
      </c>
      <c r="F2" s="56">
        <v>280.0</v>
      </c>
      <c r="G2" s="57" t="s">
        <v>658</v>
      </c>
    </row>
    <row r="3">
      <c r="A3" s="58">
        <v>2.0</v>
      </c>
      <c r="B3" s="59" t="s">
        <v>659</v>
      </c>
      <c r="C3" s="59">
        <v>435.0</v>
      </c>
      <c r="D3" s="59">
        <v>650.0</v>
      </c>
      <c r="E3" s="59">
        <v>95.0</v>
      </c>
      <c r="F3" s="59">
        <v>280.0</v>
      </c>
      <c r="G3" s="60" t="s">
        <v>658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55" t="s">
        <v>20</v>
      </c>
      <c r="B4" s="56" t="s">
        <v>660</v>
      </c>
      <c r="C4" s="56">
        <v>280.0</v>
      </c>
      <c r="D4" s="56">
        <v>650.0</v>
      </c>
      <c r="E4" s="56">
        <v>40.0</v>
      </c>
      <c r="F4" s="56">
        <v>280.0</v>
      </c>
      <c r="G4" s="57" t="s">
        <v>658</v>
      </c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A5" s="58" t="s">
        <v>21</v>
      </c>
      <c r="B5" s="63" t="s">
        <v>661</v>
      </c>
      <c r="C5" s="59">
        <v>435.0</v>
      </c>
      <c r="D5" s="59">
        <v>430.0</v>
      </c>
      <c r="E5" s="59">
        <v>46.0</v>
      </c>
      <c r="F5" s="59">
        <v>200.0</v>
      </c>
      <c r="G5" s="60" t="s">
        <v>658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55" t="s">
        <v>662</v>
      </c>
      <c r="B6" s="64" t="s">
        <v>663</v>
      </c>
      <c r="C6" s="65">
        <v>550.0</v>
      </c>
      <c r="D6" s="65">
        <v>361.0</v>
      </c>
      <c r="E6" s="65">
        <v>63.0</v>
      </c>
      <c r="F6" s="65">
        <v>176.0</v>
      </c>
      <c r="G6" s="57" t="s">
        <v>658</v>
      </c>
    </row>
    <row r="7">
      <c r="A7" s="55" t="s">
        <v>23</v>
      </c>
      <c r="B7" s="66" t="s">
        <v>664</v>
      </c>
      <c r="C7" s="67">
        <v>550.0</v>
      </c>
      <c r="D7" s="67">
        <v>580.0</v>
      </c>
      <c r="E7" s="67">
        <v>59.0</v>
      </c>
      <c r="F7" s="67">
        <v>407.0</v>
      </c>
      <c r="G7" s="57" t="s">
        <v>658</v>
      </c>
    </row>
    <row r="8">
      <c r="A8" s="68" t="s">
        <v>24</v>
      </c>
      <c r="B8" s="69" t="s">
        <v>665</v>
      </c>
      <c r="C8" s="70">
        <v>760.0</v>
      </c>
      <c r="D8" s="70">
        <v>790.0</v>
      </c>
      <c r="E8" s="70">
        <v>47.0</v>
      </c>
      <c r="F8" s="70">
        <v>150.0</v>
      </c>
      <c r="G8" s="71" t="s">
        <v>658</v>
      </c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55" t="s">
        <v>25</v>
      </c>
      <c r="B9" s="66" t="s">
        <v>666</v>
      </c>
      <c r="C9" s="56">
        <v>700.0</v>
      </c>
      <c r="D9" s="56">
        <v>771.0</v>
      </c>
      <c r="E9" s="56">
        <v>55.0</v>
      </c>
      <c r="F9" s="56">
        <v>168.0</v>
      </c>
      <c r="G9" s="57" t="s">
        <v>658</v>
      </c>
    </row>
    <row r="10">
      <c r="A10" s="68" t="s">
        <v>26</v>
      </c>
      <c r="B10" s="69" t="s">
        <v>667</v>
      </c>
      <c r="C10" s="70">
        <v>640.0</v>
      </c>
      <c r="D10" s="70">
        <v>773.0</v>
      </c>
      <c r="E10" s="70">
        <v>48.0</v>
      </c>
      <c r="F10" s="70">
        <v>170.0</v>
      </c>
      <c r="G10" s="71" t="s">
        <v>658</v>
      </c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55" t="s">
        <v>27</v>
      </c>
      <c r="B11" s="66" t="s">
        <v>668</v>
      </c>
      <c r="C11" s="64"/>
      <c r="D11" s="64"/>
      <c r="E11" s="64"/>
      <c r="F11" s="64"/>
      <c r="G11" s="57" t="s">
        <v>658</v>
      </c>
    </row>
    <row r="12">
      <c r="A12" s="55" t="s">
        <v>28</v>
      </c>
      <c r="B12" s="66" t="s">
        <v>669</v>
      </c>
      <c r="C12" s="56">
        <v>760.0</v>
      </c>
      <c r="D12" s="56">
        <v>970.0</v>
      </c>
      <c r="E12" s="56">
        <v>45.0</v>
      </c>
      <c r="F12" s="56">
        <v>104.0</v>
      </c>
      <c r="G12" s="57" t="s">
        <v>658</v>
      </c>
    </row>
    <row r="13">
      <c r="A13" s="55" t="s">
        <v>29</v>
      </c>
      <c r="B13" s="66" t="s">
        <v>670</v>
      </c>
      <c r="C13" s="56">
        <v>700.0</v>
      </c>
      <c r="D13" s="56">
        <v>967.0</v>
      </c>
      <c r="E13" s="56">
        <v>54.0</v>
      </c>
      <c r="F13" s="56">
        <v>160.0</v>
      </c>
      <c r="G13" s="57" t="s">
        <v>658</v>
      </c>
    </row>
    <row r="14">
      <c r="A14" s="55" t="s">
        <v>30</v>
      </c>
      <c r="B14" s="57" t="s">
        <v>671</v>
      </c>
      <c r="C14" s="56">
        <v>640.0</v>
      </c>
      <c r="D14" s="56">
        <v>970.0</v>
      </c>
      <c r="E14" s="56">
        <v>52.0</v>
      </c>
      <c r="F14" s="56">
        <v>204.0</v>
      </c>
      <c r="G14" s="57" t="s">
        <v>658</v>
      </c>
    </row>
    <row r="15">
      <c r="A15" s="55" t="s">
        <v>31</v>
      </c>
      <c r="B15" s="57" t="s">
        <v>672</v>
      </c>
      <c r="C15" s="56">
        <v>951.0</v>
      </c>
      <c r="D15" s="56">
        <v>1080.0</v>
      </c>
      <c r="E15" s="56">
        <v>86.0</v>
      </c>
      <c r="F15" s="56">
        <v>57.0</v>
      </c>
      <c r="G15" s="57" t="s">
        <v>658</v>
      </c>
    </row>
    <row r="16">
      <c r="A16" s="58" t="s">
        <v>32</v>
      </c>
      <c r="B16" s="73" t="s">
        <v>673</v>
      </c>
      <c r="C16" s="59">
        <v>485.0</v>
      </c>
      <c r="D16" s="59">
        <v>480.0</v>
      </c>
      <c r="E16" s="59">
        <v>46.0</v>
      </c>
      <c r="F16" s="59">
        <v>150.0</v>
      </c>
      <c r="G16" s="59" t="s">
        <v>658</v>
      </c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74" t="s">
        <v>33</v>
      </c>
      <c r="B17" s="56" t="s">
        <v>674</v>
      </c>
      <c r="C17" s="56">
        <v>1914.0</v>
      </c>
      <c r="D17" s="56">
        <v>2745.0</v>
      </c>
      <c r="E17" s="56">
        <v>1273.0</v>
      </c>
      <c r="F17" s="56">
        <v>89.0</v>
      </c>
      <c r="G17" s="57" t="s">
        <v>675</v>
      </c>
    </row>
    <row r="18">
      <c r="A18" s="74" t="s">
        <v>34</v>
      </c>
      <c r="B18" s="56" t="s">
        <v>676</v>
      </c>
      <c r="C18" s="56">
        <v>2589.0</v>
      </c>
      <c r="D18" s="56">
        <v>2008.0</v>
      </c>
      <c r="E18" s="56">
        <v>762.0</v>
      </c>
      <c r="F18" s="56">
        <v>102.0</v>
      </c>
      <c r="G18" s="57" t="s">
        <v>675</v>
      </c>
    </row>
    <row r="19">
      <c r="A19" s="74" t="s">
        <v>35</v>
      </c>
      <c r="B19" s="56" t="s">
        <v>677</v>
      </c>
      <c r="C19" s="56">
        <v>1697.0</v>
      </c>
      <c r="D19" s="56">
        <v>1914.0</v>
      </c>
      <c r="E19" s="56">
        <v>574.0</v>
      </c>
      <c r="F19" s="56">
        <v>47.0</v>
      </c>
      <c r="G19" s="57" t="s">
        <v>675</v>
      </c>
    </row>
    <row r="20">
      <c r="A20" s="74">
        <v>2.0</v>
      </c>
      <c r="B20" s="56" t="s">
        <v>678</v>
      </c>
      <c r="C20" s="56">
        <v>1703.0</v>
      </c>
      <c r="D20" s="56">
        <v>2094.0</v>
      </c>
      <c r="E20" s="56">
        <v>586.0</v>
      </c>
      <c r="F20" s="56">
        <v>86.0</v>
      </c>
      <c r="G20" s="57" t="s">
        <v>675</v>
      </c>
    </row>
    <row r="21">
      <c r="A21" s="74" t="s">
        <v>36</v>
      </c>
      <c r="B21" s="56" t="s">
        <v>679</v>
      </c>
      <c r="C21" s="56">
        <v>2489.0</v>
      </c>
      <c r="D21" s="56">
        <v>2163.0</v>
      </c>
      <c r="E21" s="56">
        <v>662.0</v>
      </c>
      <c r="F21" s="56">
        <v>112.0</v>
      </c>
      <c r="G21" s="57" t="s">
        <v>675</v>
      </c>
    </row>
    <row r="22">
      <c r="A22" s="74">
        <v>3.0</v>
      </c>
      <c r="B22" s="75" t="s">
        <v>680</v>
      </c>
      <c r="C22" s="56">
        <v>1696.0</v>
      </c>
      <c r="D22" s="56">
        <v>2250.0</v>
      </c>
      <c r="E22" s="56">
        <v>630.0</v>
      </c>
      <c r="F22" s="56">
        <v>96.0</v>
      </c>
      <c r="G22" s="57" t="s">
        <v>675</v>
      </c>
    </row>
    <row r="23">
      <c r="A23" s="74" t="s">
        <v>37</v>
      </c>
      <c r="B23" s="75" t="s">
        <v>681</v>
      </c>
      <c r="C23" s="56">
        <v>1638.0</v>
      </c>
      <c r="D23" s="56">
        <v>2378.0</v>
      </c>
      <c r="E23" s="56">
        <v>579.0</v>
      </c>
      <c r="F23" s="56">
        <v>81.0</v>
      </c>
      <c r="G23" s="57" t="s">
        <v>675</v>
      </c>
    </row>
    <row r="24">
      <c r="A24" s="74" t="s">
        <v>38</v>
      </c>
      <c r="B24" s="75" t="s">
        <v>682</v>
      </c>
      <c r="C24" s="56">
        <v>1611.0</v>
      </c>
      <c r="D24" s="56">
        <v>3065.0</v>
      </c>
      <c r="E24" s="56">
        <v>813.0</v>
      </c>
      <c r="F24" s="56">
        <v>77.0</v>
      </c>
      <c r="G24" s="57" t="s">
        <v>675</v>
      </c>
    </row>
    <row r="25">
      <c r="A25" s="74">
        <v>4.0</v>
      </c>
      <c r="B25" s="75" t="s">
        <v>683</v>
      </c>
      <c r="C25" s="56">
        <v>2371.0</v>
      </c>
      <c r="D25" s="56">
        <v>1310.0</v>
      </c>
      <c r="E25" s="56">
        <v>96.0</v>
      </c>
      <c r="F25" s="56">
        <v>609.0</v>
      </c>
      <c r="G25" s="57" t="s">
        <v>675</v>
      </c>
    </row>
    <row r="26">
      <c r="A26" s="74" t="s">
        <v>39</v>
      </c>
      <c r="B26" s="75" t="s">
        <v>684</v>
      </c>
      <c r="C26" s="56">
        <v>2239.0</v>
      </c>
      <c r="D26" s="56">
        <v>1491.0</v>
      </c>
      <c r="E26" s="56">
        <v>99.0</v>
      </c>
      <c r="F26" s="56">
        <v>715.0</v>
      </c>
      <c r="G26" s="57" t="s">
        <v>675</v>
      </c>
    </row>
    <row r="27">
      <c r="A27" s="74">
        <v>5.0</v>
      </c>
      <c r="B27" s="75" t="s">
        <v>685</v>
      </c>
      <c r="C27" s="56">
        <v>2567.0</v>
      </c>
      <c r="D27" s="56">
        <v>925.0</v>
      </c>
      <c r="E27" s="56">
        <v>106.0</v>
      </c>
      <c r="F27" s="56">
        <v>221.0</v>
      </c>
      <c r="G27" s="57" t="s">
        <v>675</v>
      </c>
    </row>
    <row r="28">
      <c r="A28" s="74" t="s">
        <v>40</v>
      </c>
      <c r="B28" s="75" t="s">
        <v>686</v>
      </c>
      <c r="C28" s="56">
        <v>2706.0</v>
      </c>
      <c r="D28" s="56">
        <v>1511.0</v>
      </c>
      <c r="E28" s="56">
        <v>91.0</v>
      </c>
      <c r="F28" s="56">
        <v>831.0</v>
      </c>
      <c r="G28" s="57" t="s">
        <v>675</v>
      </c>
    </row>
    <row r="29">
      <c r="A29" s="74" t="s">
        <v>41</v>
      </c>
      <c r="B29" s="75" t="s">
        <v>687</v>
      </c>
      <c r="C29" s="56">
        <v>2885.0</v>
      </c>
      <c r="D29" s="56">
        <v>1520.0</v>
      </c>
      <c r="E29" s="56">
        <v>95.0</v>
      </c>
      <c r="F29" s="56">
        <v>870.0</v>
      </c>
      <c r="G29" s="57" t="s">
        <v>675</v>
      </c>
    </row>
    <row r="30">
      <c r="A30" s="74" t="s">
        <v>42</v>
      </c>
      <c r="B30" s="75" t="s">
        <v>688</v>
      </c>
      <c r="C30" s="56">
        <v>3032.0</v>
      </c>
      <c r="D30" s="56">
        <v>1516.0</v>
      </c>
      <c r="E30" s="56">
        <v>95.0</v>
      </c>
      <c r="F30" s="56">
        <v>866.0</v>
      </c>
      <c r="G30" s="57" t="s">
        <v>675</v>
      </c>
    </row>
  </sheetData>
  <drawing r:id="rId1"/>
</worksheet>
</file>
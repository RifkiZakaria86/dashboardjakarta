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" sheetId="1" r:id="rId5"/>
    <sheet state="visible" name="DashboardConfig" sheetId="2" r:id="rId6"/>
  </sheets>
  <definedNames/>
  <calcPr/>
</workbook>
</file>

<file path=xl/sharedStrings.xml><?xml version="1.0" encoding="utf-8"?>
<sst xmlns="http://schemas.openxmlformats.org/spreadsheetml/2006/main" count="951" uniqueCount="405">
  <si>
    <t>No</t>
  </si>
  <si>
    <t>NAMA PELANGGAN</t>
  </si>
  <si>
    <t>NAMA PROYEK</t>
  </si>
  <si>
    <t>TIPE PRODUK</t>
  </si>
  <si>
    <t>STOCK</t>
  </si>
  <si>
    <t>LOKASI OPNAME</t>
  </si>
  <si>
    <t>OPNAME FISIK S/D SAAT INI</t>
  </si>
  <si>
    <t>SELISIH OPNAME</t>
  </si>
  <si>
    <t>WILAYAH PENJUALAN</t>
  </si>
  <si>
    <t>HARSAT</t>
  </si>
  <si>
    <t>TOTAL RUPIAH</t>
  </si>
  <si>
    <t>UMUR PRODUK</t>
  </si>
  <si>
    <t>&lt; 30 Hari</t>
  </si>
  <si>
    <t>30 - 60 Hari</t>
  </si>
  <si>
    <t>60 - 90 Hari</t>
  </si>
  <si>
    <t>90 - 180 Hari</t>
  </si>
  <si>
    <t>180 - 365 Hari</t>
  </si>
  <si>
    <t>&gt; 1 Tahun</t>
  </si>
  <si>
    <t>OPNAME</t>
  </si>
  <si>
    <t>TITIPAN</t>
  </si>
  <si>
    <t>A</t>
  </si>
  <si>
    <t>B</t>
  </si>
  <si>
    <t>C</t>
  </si>
  <si>
    <t>D</t>
  </si>
  <si>
    <t>E</t>
  </si>
  <si>
    <t>F</t>
  </si>
  <si>
    <t>G1</t>
  </si>
  <si>
    <t>G2</t>
  </si>
  <si>
    <t>H1</t>
  </si>
  <si>
    <t>H2</t>
  </si>
  <si>
    <t>I1-I2</t>
  </si>
  <si>
    <t>J1-J2</t>
  </si>
  <si>
    <t>JL.LOADING</t>
  </si>
  <si>
    <t>WS-BOX (JLR.7)</t>
  </si>
  <si>
    <t>PT. PLN (Persero) Wilayah Sulselrabar</t>
  </si>
  <si>
    <t>Proyek. Dispensasi Pengadaan Tiang Beton KHS PLN TA. 2025</t>
  </si>
  <si>
    <t>09 - 200 (157).EB</t>
  </si>
  <si>
    <t>WP-6</t>
  </si>
  <si>
    <t>11 - 200 (190).EB</t>
  </si>
  <si>
    <t>12 - 200 (190).EB</t>
  </si>
  <si>
    <t>13 - 350 (190).EB</t>
  </si>
  <si>
    <t>PT. Vale Indonesia</t>
  </si>
  <si>
    <t>Proyek. Jaringan Distribusi IGT PT. Vale Indonesia Sorowako</t>
  </si>
  <si>
    <t>14 - 500 (190).EB</t>
  </si>
  <si>
    <t>5 - 800 (425).E</t>
  </si>
  <si>
    <t>12 - 800 (245).E</t>
  </si>
  <si>
    <t>PT. PLN (Persero) Wilayah Suluttenggo</t>
  </si>
  <si>
    <t>Proyek. SPB PLN Kontrak 2025 Rinci 0252 Fungsi Lisdes UP2K Area Sulawesi Tengah</t>
  </si>
  <si>
    <t>12 - 350 (190).EB</t>
  </si>
  <si>
    <t>UNIVERSITAS MUHAMMADIYAH MAKASSAR</t>
  </si>
  <si>
    <t>Proyek. Pembangunan Gedung Kampus Universitas Muhammadiyah Makassar di Kota Makassar</t>
  </si>
  <si>
    <t>40.A2.B.12. 7 B //Gedung Kampus Universitas Muhammadiyah Makassar di Kota Makassar</t>
  </si>
  <si>
    <t>40.A2.U.10. 7 B //Gedung Kampus Universitas Muhammadiyah Makassar di Kota Makassar</t>
  </si>
  <si>
    <t>PT. MAKASSAR INTERNASIONAL EXPO</t>
  </si>
  <si>
    <t>Proyek. Pembangunan Mall dan Hotel Grand Mercure Tanjung Bunga di Kota Makassar</t>
  </si>
  <si>
    <t>60.A1.B.12. 7,1 B</t>
  </si>
  <si>
    <t>60.A1.U.11. 7,1 B</t>
  </si>
  <si>
    <t>60.A1.BM.12. 7 BK.1.1 //Ciputra World Mall di Kota Makassar</t>
  </si>
  <si>
    <t>60.A1.U.12. 7 B // Ciputra World Mall di Kota Makassar</t>
  </si>
  <si>
    <t>CV. SUMBER REZKY JAYA</t>
  </si>
  <si>
    <t>Proyek. Pembangunan Mall Pelayanan Publik di Malili, Sulawesi Selatan</t>
  </si>
  <si>
    <t>40.A2.B.12. 7 B // Pembangunan Mall Pelayanan Publik di Malili, Sulawesi Selatan</t>
  </si>
  <si>
    <t>PT. VALE INDONESIA</t>
  </si>
  <si>
    <t>Proyek. Pembangunan Centralized Control Room di Sorowako, Kabupaten Luwu Timur</t>
  </si>
  <si>
    <t>50.A1.B.06. 7,1 B //Centralized Control Room di Sorowako, Kabupaten Luwu Timur</t>
  </si>
  <si>
    <t>50.A1.M.06. 7,1 B //Centralized Control Room di Sorowako, Kabupaten Luwu Timur</t>
  </si>
  <si>
    <t>50.A1.U.06. 7,1 B //Centralized Control Room di Sorowako, Kabupaten Luwu Timur</t>
  </si>
  <si>
    <t>PT. DELIMA UTAMA</t>
  </si>
  <si>
    <t>Proyek. Penaganan Banjir Ruas Asera - Kota Lama Tahap 1</t>
  </si>
  <si>
    <t>60.B0.B.12. 9 B // Banjir Ruas Asera - Kota Lama Tahap 1</t>
  </si>
  <si>
    <t>Proyek. Penaganan Banjir Ruas Asera - Kota Lama Tahap 2</t>
  </si>
  <si>
    <t>60.B0.U.06. 9 B // Banjir Ruas Asera - Kota Lama Tahap 1</t>
  </si>
  <si>
    <t>60.B0.U.07. 9 B // Banjir Ruas Asera - Kota Lama Tahap 1</t>
  </si>
  <si>
    <t>60.B0.U.08. 9 B // Banjir Ruas Asera - Kota Lama Tahap 1</t>
  </si>
  <si>
    <t>60.B0.M.08. 9 B // Banjir Ruas Asera - Kota Lama Tahap 1</t>
  </si>
  <si>
    <t>60.B0.M.12. 9 B // Banjir Ruas Asera - Kota Lama Tahap 1</t>
  </si>
  <si>
    <t>60.B0.M.11. 9 B // Banjir Ruas Asera - Kota Lama Tahap 1</t>
  </si>
  <si>
    <t>CV. Kitapura Membangun</t>
  </si>
  <si>
    <t>Proyek. Pengganti Jembatan Maleyani IX di Kabupaten Parigi</t>
  </si>
  <si>
    <t>50.B0.M.06. 7,1 B // Jembatan Maleyani IX di Kabupaten Parigi</t>
  </si>
  <si>
    <t>50.B0.B.07. 7,1 B // Jembatan Maleyani IX di Kabupaten Parigi</t>
  </si>
  <si>
    <t>PT. Pembangunan Perumahan</t>
  </si>
  <si>
    <t>Proyek. Pembangunan Sekolah Unggul Garuda, Sulawesi Tenggara</t>
  </si>
  <si>
    <t>60.A1.S.06. 7 B // Pembangunan Sekolah Unggul Garuda, Sulawesi Tenggara</t>
  </si>
  <si>
    <t>PT. Pamitra Jaya Konstruksi</t>
  </si>
  <si>
    <t>Proyek. EPC Terminal LPG Kolaka, Sulawesi Tenggara (PI)</t>
  </si>
  <si>
    <t>40.A2.B.09. 7 B K3,5 // EPC Terminal LPG Kolaka, Sulawesi Tenggara (PI)</t>
  </si>
  <si>
    <t>40.A2.U.06. 7 B K3,5 // EPC Terminal LPG Kolaka, Sulawesi Tenggara (PI)</t>
  </si>
  <si>
    <t>40.A2.U.07. 7 B K3.5 // EPC Terminal LPG Kolaka, Sulawesi Tenggara (PI)</t>
  </si>
  <si>
    <t>CV. Citra Utama</t>
  </si>
  <si>
    <t>Proyek. Penggantian Jembatan Dilehito, Gorontalo</t>
  </si>
  <si>
    <t>50.C0.B.12. 9,1 B // Jembatan Dilehito, Gorontalo</t>
  </si>
  <si>
    <t>50.C0.M.10. 9,1 B // Jembatan Dilehito, Gorontalo</t>
  </si>
  <si>
    <t>CV. DATU PUTRA</t>
  </si>
  <si>
    <t>Proyek. Pemb. Jembatan Gantung Beringin Jaya di Kab. Luwu Utara Tahap III</t>
  </si>
  <si>
    <t>60.A1.U.06. 7 B-STD-22 // Gantung Beringin Jaya di Kab. Luwu Utara Tahap III</t>
  </si>
  <si>
    <t>WP-6 ( STOCK BEBAS</t>
  </si>
  <si>
    <t>PT. PRATAMA ADIJAYA STEEL</t>
  </si>
  <si>
    <t>Pembangunan Gedung Mitra 10 di Kota Kendari</t>
  </si>
  <si>
    <t>45.C0.B.09.7,1 B - STD'19 // Demaga Politani di Pangkep, Sulawesi Selatan</t>
  </si>
  <si>
    <t>45.C0.M.09.9,1 B - STD'19 // Demaga Politani di Pangkep, Sulawesi Selatan</t>
  </si>
  <si>
    <t>50.B0.B.06. 7,1 B // / Test Pile Dialoog Hotel di Manado</t>
  </si>
  <si>
    <t>40.A3.B.06. 7,1 B - STD'19 - Test Pile Dialoog Hotel di Manado</t>
  </si>
  <si>
    <t>45.BO.M.08.7.W</t>
  </si>
  <si>
    <t>PT. INTEGRAL ARTHA PRIMA</t>
  </si>
  <si>
    <t>60.A1.B.16.7,1.B K1.1</t>
  </si>
  <si>
    <t>PT. UKHUWA UMI TEKNIK</t>
  </si>
  <si>
    <t>35.B0.M.08.7,1 B</t>
  </si>
  <si>
    <t>PT. SAMUDERA LAMPUNG LOGISTIK</t>
  </si>
  <si>
    <t>Proyek. Penggantian Tiang Pancang Reject Tangguh LNG</t>
  </si>
  <si>
    <t>60.C0.M.12. 9,1B.K.10 / TANGGUH-NS'XXX/ 8.G</t>
  </si>
  <si>
    <t>PT. WIJAYA KARYA</t>
  </si>
  <si>
    <t>40.40.A2.M.07.7W</t>
  </si>
  <si>
    <t>PT. MAKMUR JAYA</t>
  </si>
  <si>
    <t>40.40.A2.B.12.7W</t>
  </si>
  <si>
    <t>PT. LINGKAR PERSADA</t>
  </si>
  <si>
    <t>Proyek. Pancang Jembatan Gantung di Wajo</t>
  </si>
  <si>
    <t>40.A3.B.10. 7,1 B - std // Pancang Jembatan Gantung di Wajo</t>
  </si>
  <si>
    <t>CSTS Joint Operation</t>
  </si>
  <si>
    <t>Proyek. Tangguh Ekspansion Batch 2 Rev. 10 (PI)</t>
  </si>
  <si>
    <t>60.C0.M.12. 9,1B.K.10 / TANGGUH-NS'0548 / BATCH 2.REV.10</t>
  </si>
  <si>
    <t>PT. CSTS JOINT OPERATION</t>
  </si>
  <si>
    <t>Proyek. Tangguh Train III</t>
  </si>
  <si>
    <t>60.C0.B.06. 9,1B.K.10 / TANGGUH-NS'0548 / BATCH 2.REV.10</t>
  </si>
  <si>
    <t>Proyek. Rumah Sakit Bhayangkara di Kota Makassar</t>
  </si>
  <si>
    <t>PT. DUTA ABADI</t>
  </si>
  <si>
    <t>45.B0.B.09.7,1 B // RMH.Sakit Bhayangkara (Pengganti Rijek)</t>
  </si>
  <si>
    <t>PT. MAHAYASA</t>
  </si>
  <si>
    <t>40.40.A2.S.12.7W</t>
  </si>
  <si>
    <t>PT. AIR PRODUCTS EAST KALIMANTAN</t>
  </si>
  <si>
    <t>Proyek. Coal To Methanol Bengalon</t>
  </si>
  <si>
    <t>40.A3.B.15. 7,1 B STD'22 // Coal To Methanol Bengalon</t>
  </si>
  <si>
    <t>WP-4</t>
  </si>
  <si>
    <t>40.A3.M.15. 7,1 B STD'22 // Coal To Methanol Bengalon</t>
  </si>
  <si>
    <t>60.A3.B.15. 7,1 B // Coal To Methanol Bengalon</t>
  </si>
  <si>
    <t>60.A3.M.15. 7,1 B // Coal To Methanol Bengalon</t>
  </si>
  <si>
    <t>PT. CHCI CONSTRUCTION INDONESIA</t>
  </si>
  <si>
    <t>40.A3.M.10. 7,1 B STD'22 // Coal To Methanol Bengalon</t>
  </si>
  <si>
    <t>40.A3.B.12. 7,1 B STD'22 // Coal To Methanol Bengalon</t>
  </si>
  <si>
    <t>40.A3.M.06 7,1 B STD'22 // Coal To Methanol Bengalon</t>
  </si>
  <si>
    <t>40.A3.M.07 7,1 B STD'22 // Coal To Methanol Bengalon</t>
  </si>
  <si>
    <t>60.A3.M.06. 7 B-STD-22 // Coal To Methanol Bengalon.III</t>
  </si>
  <si>
    <t>60.A3.M.09. 7 B-STD-22 // Coal To Methanol Bengalon.III</t>
  </si>
  <si>
    <t>60.A3.M.10. 7 B-STD-22 // Coal To Methanol Bengalon.III</t>
  </si>
  <si>
    <t>PT. BUMI ACEH CITRA PERSADA - PT. SAMUDRA ANUGRAH INDAH PERMAI, KSO</t>
  </si>
  <si>
    <t>Proyek. Gedung Kantor Gubernur Provinsi Sulawesi Tenggara</t>
  </si>
  <si>
    <t>60.A1.B.06. 7,1 B-STD-23 //Gedung Kantor Gubernur Provinsi Sulawesi Tenggara</t>
  </si>
  <si>
    <t>60.A1.U.08. 7,1 B-STD-23 //Gedung Kantor Gubernur Provinsi Sulawesi Tenggara</t>
  </si>
  <si>
    <t>PT. Pembangunan Perumahan (Persero) Tbk,</t>
  </si>
  <si>
    <t>40.A2.U.08. 7,1 B - STD-2023 // Government Center and Service di Kota Makassar Tahap II</t>
  </si>
  <si>
    <t>PT. PERMATA BUNDA HUSADA PRIMA</t>
  </si>
  <si>
    <t>Proyek. Pembangunan Rumah Sakit Permata Bunda Kota Kendari</t>
  </si>
  <si>
    <t>60.A1.B.07. 7,1 B - STD-23 //Rumah Sakit Permata Bunda Kota Kendari</t>
  </si>
  <si>
    <t>CV. BERDIKARI PAPUA PERKASA</t>
  </si>
  <si>
    <t>Proyek. Gedung BLK di Kab. Morowali</t>
  </si>
  <si>
    <t>40.A2.M.06. 7,1 B - STD-2023 // Gedung BLK di Kab. Morowali</t>
  </si>
  <si>
    <t>ENERGINDO BERSATU, KSO</t>
  </si>
  <si>
    <t>Proyek. Rekonstruksi Masjid Agung Syuhada di Kab. Mamuju</t>
  </si>
  <si>
    <t>50.A1.U.12. 7,1 B -STD'23 // Masjid Agung Syuhada di Kab. Mamuju</t>
  </si>
  <si>
    <t>MAHAKARYA TUNGGAL ABADI - CANAYYA BERKAT, KSO</t>
  </si>
  <si>
    <t>Proyek. Dermaga Pulau Bonerate di Kab. Selayar</t>
  </si>
  <si>
    <t>50.A2.M.12. 7,1 B -STD'24 //Dermaga Pulau Bonerate di Kab. Selayar</t>
  </si>
  <si>
    <t>PT. NINDYA KARYA</t>
  </si>
  <si>
    <t>Proyek. Penataan Kawasan Waterfront Marina dan Keraton Liya KSPN Wakatobi Sulawesi Tenggara</t>
  </si>
  <si>
    <t>40.A2.M.08. 7 B - STD //Waterfront Marina dan Keraton Liya KSPN Wakatobi Sulawesi Tenggara</t>
  </si>
  <si>
    <t>PT. MANDIRI INTIPERKASA</t>
  </si>
  <si>
    <t>Proyek. MIP CCP 3 Sesayap, Nunukan, Kalimantan Utara</t>
  </si>
  <si>
    <t>40.A3.B.6. 7,1 B - STD-2024 //MIP CCP 3 Sesayap, Nunukan, Kalimantan Utara</t>
  </si>
  <si>
    <t>Proyek. Rekonstruksi Masjid Agung Syuhada di Kab. Mamuju Tahap II</t>
  </si>
  <si>
    <t>50.A2.M.06. 7,1 B -STD'23 // Masjid Agung Syuhada di Kab. Mamuju Tahap II</t>
  </si>
  <si>
    <t>PT. MAPPLETON DEVELOPMENT INDONESIA</t>
  </si>
  <si>
    <t>Proyek. Pembangunan Gedung di Kota Makassar Tahap 3</t>
  </si>
  <si>
    <t>25,25,A.S.06. 9,53 S.M //</t>
  </si>
  <si>
    <t>PT. Adi Perkasa Boga</t>
  </si>
  <si>
    <t>Proyek. Pembangunan Café Interval CPI di Kota Makassar Tahap 2</t>
  </si>
  <si>
    <t>40,40,A.B.12. 12,7 S.M (50%) // Pembangunan Mall dan Hotel Grand Mercure Tanjung Bunga di Kota Makassar</t>
  </si>
  <si>
    <t>40,40,A.U.13. 12,7 S.M (50%) //Mall dan Hotel Grand Mercure Tanjung Bunga di Kota Makassar</t>
  </si>
  <si>
    <t>Soerianto Soewardi</t>
  </si>
  <si>
    <t>Proyek. Pembangunan Rumah Tinggal di CPI Kota Makassar</t>
  </si>
  <si>
    <t>35,35,A.B.08. 9,53 S.M</t>
  </si>
  <si>
    <t>35,35,A.M.08. 9,53 S.M</t>
  </si>
  <si>
    <t>35,35,A.U.09. 9,53 S.M</t>
  </si>
  <si>
    <t>PT. Delima Utama</t>
  </si>
  <si>
    <t>Proyek. Pengadaan Tiang Pancang Kotak Penanggulangan Banjir Asera</t>
  </si>
  <si>
    <t>25,25,A.U.06. 9,53 S.M // Pengadaan Tiang Pancang Kotak Penanggulangan Banjir Asera</t>
  </si>
  <si>
    <t>PT. Sundari Utama Nusantara</t>
  </si>
  <si>
    <t>Proyek. Pembangunan Gudang PT. Olympic di Pattene Kabupaten Maros</t>
  </si>
  <si>
    <t>25,25,A.S.06. 9,53 S.M //Gudang PT. Olympic di Pattene Kabupaten Maros</t>
  </si>
  <si>
    <t>PT. Hutama Karya (Persero)</t>
  </si>
  <si>
    <t>Proyek. Pembangunan Sekolah Rakyat Sulawesi Barat di Kabupaten Mamuju</t>
  </si>
  <si>
    <t>30,30,A.B.6. 9,53 S.M (50%) //Sekolah Rakyat Minaha, Sulawesi Utara+mamuju</t>
  </si>
  <si>
    <t>30,30,A.U.6. 9,53 S.M (50%) //Sekolah Rakyat mamuju</t>
  </si>
  <si>
    <t>PT. WASKITA KARYA (Persero)</t>
  </si>
  <si>
    <t>Proyek. Used Pile Proyek Twin Tower di CPI Makassar</t>
  </si>
  <si>
    <t>45,45,B.B.12. 12,7 S.M //100% // TAMBAHAN TWIN TOWER</t>
  </si>
  <si>
    <t>CV. D'LIMA ENGINEERING</t>
  </si>
  <si>
    <t>Proyek. Gedung Kantor Penghubung Makassar (PI)</t>
  </si>
  <si>
    <t>30.30.A.U.10. 19 / Pemb. Gedung Kantor Penghubung Makassar (PI)</t>
  </si>
  <si>
    <t>PT. BUMI KARSA</t>
  </si>
  <si>
    <t>Proyek. Pembangunan Gedung Baru RS Faisal di Kota Makassar</t>
  </si>
  <si>
    <t>PT.LOGAM BANGUN PERKASA</t>
  </si>
  <si>
    <t>32. A0. S. 06. 7 W</t>
  </si>
  <si>
    <t>PT. CIPUTRA ANUGERAH ANARAWATA</t>
  </si>
  <si>
    <t>Proyek. Jembatan Jalur Kendaraan dan Pejalan Kaki CPI Selatan di Kota Makassar</t>
  </si>
  <si>
    <t>BEAM H- 140 - 24,6M</t>
  </si>
  <si>
    <t>P. DECK 145 X 100 X 7 STD-22 // Jembatan Jalur Kendaraan dan Pejalan Kaki CPI Selatan di Kota Makassar</t>
  </si>
  <si>
    <t>FS 01 - 482 x 225 x 35</t>
  </si>
  <si>
    <t>FS 02 - 482 x 225 x 35</t>
  </si>
  <si>
    <t>FS 03 - 482 x 175 x 35</t>
  </si>
  <si>
    <t>FS 04 - 482 x 225 x 35</t>
  </si>
  <si>
    <t>FS 05 - 422 x 225 x 35</t>
  </si>
  <si>
    <t>FS 06 - 422 x 225 x 35</t>
  </si>
  <si>
    <t>FS 07 - 422 x 175 x 35</t>
  </si>
  <si>
    <t>FS 08 - 422 x 225 x 35</t>
  </si>
  <si>
    <t>FS 09 - 302 x 225 x 35</t>
  </si>
  <si>
    <t>FS 10 - 349 x 225 x 35</t>
  </si>
  <si>
    <t>FS 11 - 395 x 225 x 35</t>
  </si>
  <si>
    <t>FS 12 - 437 x 175 x 35</t>
  </si>
  <si>
    <t>FS 13 - 478 x 225 x 35</t>
  </si>
  <si>
    <t>FS 14 - 525 x 225 x 35</t>
  </si>
  <si>
    <t>FS 15 - 281 x 225 x 35</t>
  </si>
  <si>
    <t>FS 16 - 324 x 225 x 35</t>
  </si>
  <si>
    <t>FS 17 - 367 x 225 x 35</t>
  </si>
  <si>
    <t>FS 18 - 406 x 175 x 35</t>
  </si>
  <si>
    <t>FS 19 - 445 x 225 x 35</t>
  </si>
  <si>
    <t>FS 20 - 488 x 225 x 35</t>
  </si>
  <si>
    <t>FS 21 - 380 x 225 x 35</t>
  </si>
  <si>
    <t>FS 22 - 380 x 225 x 35</t>
  </si>
  <si>
    <t>FS 23 - 380 x 175 x 35</t>
  </si>
  <si>
    <t>FS 24 - 380 x 225 x 35</t>
  </si>
  <si>
    <t>FS 25 - 365 x 225 x 35</t>
  </si>
  <si>
    <t>FS 26 - 365 x 225 x 35</t>
  </si>
  <si>
    <t>FS 27 - 365 x 175 x 35</t>
  </si>
  <si>
    <t>FS 28 - 365 x 225 x 35</t>
  </si>
  <si>
    <t>FS 29 - 440 x 225 x 35</t>
  </si>
  <si>
    <t>FS 30 - 440 x 225 x 35</t>
  </si>
  <si>
    <t>FS 31 - 440 x 175 x 35</t>
  </si>
  <si>
    <t>FS 32 - 440 x 225 x 35</t>
  </si>
  <si>
    <t>CHANNEL GIRDER TEPI</t>
  </si>
  <si>
    <t>CHANNEL GIRDER TENGAH</t>
  </si>
  <si>
    <t>PT. Bumi Karsa</t>
  </si>
  <si>
    <t>Proyek. Pembangunan Jembatan Bengo Ruas Ujung Lamuru - Koppe di Kabupaten Bone</t>
  </si>
  <si>
    <t>BEAM H- 170 - 39,8M</t>
  </si>
  <si>
    <t>Diaf Tepi - 074 x 125 x 20 //</t>
  </si>
  <si>
    <t>DF. TENGAH 114 X 125 X 15 //</t>
  </si>
  <si>
    <t>PLAT - DECK 075 x 100 x 70 //</t>
  </si>
  <si>
    <t>Proyek. Pembangunan Jembatan Ruas Koppe - Taccipi di Kabupaten Bone</t>
  </si>
  <si>
    <t>CV. Wija Masagena</t>
  </si>
  <si>
    <t>Proyek. Rehabilitasi Jembatan Kampung Baru IV di Morowali</t>
  </si>
  <si>
    <t>TIPE 01 - 567 x 165 x 025</t>
  </si>
  <si>
    <t>TIPE 02 - 567 x 165 x 025</t>
  </si>
  <si>
    <t>TIPE 03 - 567 x 165 x 025</t>
  </si>
  <si>
    <t>TIPE 04 - 567 x 165 x 025</t>
  </si>
  <si>
    <t>TIPE 05 - 480 x 165 x 025</t>
  </si>
  <si>
    <t>TIPE 06 - 480 x 165 x 025</t>
  </si>
  <si>
    <t>TIPE 07 - 480 x 165 x 025</t>
  </si>
  <si>
    <t>TIPE 08 - 480 x 165 x 025</t>
  </si>
  <si>
    <t>TIPE 09 - 572 x 165 x 025</t>
  </si>
  <si>
    <t>TIPE 10 - 572 x 165 x 025</t>
  </si>
  <si>
    <t>TIPE 11 - 572 x 165 x 025</t>
  </si>
  <si>
    <t>TIPE 12 - 572 x 165 x 025</t>
  </si>
  <si>
    <t>CV. Enam Berlian</t>
  </si>
  <si>
    <t>Proyek. Penggantian Jembatan Melito IV di Gorontalo</t>
  </si>
  <si>
    <t>H - 125 L. 20,60 //+ Matandoi IV di Kab. Bolsel</t>
  </si>
  <si>
    <t>Diaf Tepi - 144 x 105 x 20</t>
  </si>
  <si>
    <t>Diaf Tengah - 162 x 105 x 15</t>
  </si>
  <si>
    <t>Proyek. Penggantian Jembatan Dilehito Gorontalo</t>
  </si>
  <si>
    <t>H - 125 L. 20,60 // Jembatan Dilehito Gorontalo</t>
  </si>
  <si>
    <t>Diaf Tepi - 144 x 105 x 20 // Jembatan Dilehito Gorontalo</t>
  </si>
  <si>
    <t>DF. TENGAH 162 X 105 X 15 // Jembatan Dilehito Gorontalo</t>
  </si>
  <si>
    <t>Ricky Kencana Sukses Mandiri - Cipta Bahagia Utama, KSO</t>
  </si>
  <si>
    <t>Proyek. Jembatan Elevated Maros - Bone TA. 2023 di Kab. Maros</t>
  </si>
  <si>
    <t>Diafragma Tepi 165 x 114 x 20</t>
  </si>
  <si>
    <t>Diafragma Tengah 165 x 154 x 15</t>
  </si>
  <si>
    <t>DIAFRAGMA TENGAH 204x165x15</t>
  </si>
  <si>
    <t>PT. WANITA MANDIRI PERKASA - SURYA BARU CEMERLANG, KSO</t>
  </si>
  <si>
    <t>Proyek. Jembatan Maetangi &amp; Lemoro II (Kasimbuncu Cs)</t>
  </si>
  <si>
    <t>DF. TEPI 144 X 070 X 20 STD'18 / GALUGA II (H.90)</t>
  </si>
  <si>
    <t>DF. TENGAH 162 X 070 X 15 STD'18 / GALUGA II (H.90)</t>
  </si>
  <si>
    <t>PT. HARFIAH GRAHA PERKASA</t>
  </si>
  <si>
    <t>Proyek. Paving Blok Proyek Drainase di Tanjung Bunga Tahap VII</t>
  </si>
  <si>
    <t>PLAT-DECK (PAVING BLOK)- 1200 x 1000 x 70 // Drainase di Tanjung Bunga Tahap VII</t>
  </si>
  <si>
    <t>CV. SURYA UTAMA</t>
  </si>
  <si>
    <t>Proyek. Pembangunan Penahan Tanah Gelombang PPI Palipi di Kab. Majene</t>
  </si>
  <si>
    <t>W.500.A.1000.10. 15,2S-XXXX / Navigable Area CPI THP.II</t>
  </si>
  <si>
    <t>PT. NINDYA KARYA (Persero)</t>
  </si>
  <si>
    <t>Proyek. Pembangunan Pedestrian Metro Tanjung Bunga ( RT)</t>
  </si>
  <si>
    <t>W.325.A.1000.06 STD'18 / CPI Mksr</t>
  </si>
  <si>
    <t>SOFYAN</t>
  </si>
  <si>
    <t>Proyek. Pembangunan Turap Polairud di Kota Makassar</t>
  </si>
  <si>
    <t>W.325.A.1000.10.12,7S //Saluran Sungai Klagison di Kab. Sorong</t>
  </si>
  <si>
    <t>PT. KELINCI MAS UNGGUL</t>
  </si>
  <si>
    <t>Proyek. Perkuatan T2 Tello - Mandai di Kota Makassar</t>
  </si>
  <si>
    <t>W.325.A.1000.12.12,7S // T2 Tello - Mandai di Kota Makassar</t>
  </si>
  <si>
    <t>ABIPRAYA - BUMI KARSA, KSO</t>
  </si>
  <si>
    <t>Proyek. Pembangunan Bendungan Budong - Budong di Kab. Mamuju Tengah</t>
  </si>
  <si>
    <t>BOX. CULVERT - 1500 X 1500 X 1200 // Box Culvert di Kab. Soppeng</t>
  </si>
  <si>
    <t>PT. AZRIL SUTAR KONSTRUKSI</t>
  </si>
  <si>
    <t>Proyek. Drainase Bukit Baruga di Kota Makassar Tahap 2</t>
  </si>
  <si>
    <t>U-DITCH 1200 X 1000 X 1200 // Bukit Baruga di Kota Makassar Tahap 2</t>
  </si>
  <si>
    <t>PT. Mareraya Multipratama Jaya</t>
  </si>
  <si>
    <t>Proyek. Drainase Lingkungan di Kota Makassar Tahap 6</t>
  </si>
  <si>
    <t>COVER U-DITCH 300H X 600L</t>
  </si>
  <si>
    <t>PT. Sen Enginering Kelistrikan</t>
  </si>
  <si>
    <t>Proyek. Cable Duct PLTB Tolo di Kabupaten Jeneponto</t>
  </si>
  <si>
    <t>Uditch -600 x 600 x 1200 B</t>
  </si>
  <si>
    <t>PT. Kami Jaya Konstruksi</t>
  </si>
  <si>
    <t>Proyek. Drainase Kawasan Industri Makassar di Kota Makassar</t>
  </si>
  <si>
    <t>U-DITCH 800 X 1000 X 1200 //</t>
  </si>
  <si>
    <t>PT. Piranti Jagad Raya</t>
  </si>
  <si>
    <t>Proyek. Box Culvert di Kabupaten Luwu Tahap 3</t>
  </si>
  <si>
    <t>BOX. CULVERT - 2000 X 2000 X 1200</t>
  </si>
  <si>
    <t>Sinar Jaya Abadi ACC</t>
  </si>
  <si>
    <t>Proyek. Drainase Gudang Bulog di Kabupaten Bone</t>
  </si>
  <si>
    <t>U-DITCH 600 X 600 X 1200 //</t>
  </si>
  <si>
    <t>U-DITCH 600 X 800 X 1200 //</t>
  </si>
  <si>
    <t>CV. Mega Buana Persada</t>
  </si>
  <si>
    <t>Proyek. Drainase Gudang Bulog di Kabupaten Sinjai</t>
  </si>
  <si>
    <t>COVER U_DITCH UDC 600H x 600L</t>
  </si>
  <si>
    <t>PT. Nindya - BPS, KSO</t>
  </si>
  <si>
    <t>Proyek. Drainase Sekolah Rakyat Sulawesi Selatan 2 di Kabupaten Sinjai</t>
  </si>
  <si>
    <t>Proyek. Drainase Sekolah Rakyat Sulawesi Selatan 2 di Kota Makassar</t>
  </si>
  <si>
    <t>PT.NINDYA KARYA PERSERO</t>
  </si>
  <si>
    <t>Proyek. Pembangunan Pedestrian Metro Tanjung Bunga ( OT)</t>
  </si>
  <si>
    <t>COVER U _ 1000 X L 600 // Metro Tanjung Bunga ( OT)</t>
  </si>
  <si>
    <t>U-GUTTER -7000 x 4400 L-1200 (6200x3600x1200)</t>
  </si>
  <si>
    <t>PT.KETJANA SAKTI INDONESIA</t>
  </si>
  <si>
    <t>Proyek. SKTT Under Ground Cable G.I Kima - G.I Daya Baru Kota Makassar</t>
  </si>
  <si>
    <t>DINDING PAGAR (2920 x 450 x 80)</t>
  </si>
  <si>
    <t>PT. HARAFIAH GRAHA PERKASA</t>
  </si>
  <si>
    <t>Proyek. U-ditch &amp; Cover di Tanjung Bunga Tahap V</t>
  </si>
  <si>
    <t>U-DITCH 600 X 700 X 1200 // U-ditch &amp; Cover di Tanjung Bunga Tahap V</t>
  </si>
  <si>
    <t>COVER U_ 600H X 600L Ligth Duty // Cover di Tanjung Bunga THP.5</t>
  </si>
  <si>
    <t>Proyek. U-ditch &amp; Cover di Tanjung Bunga Tahap VI</t>
  </si>
  <si>
    <t>U-DITCH 800 X 1000 X 1200 // U-ditch &amp; Cover di Gowa Tahap II</t>
  </si>
  <si>
    <t>PP - Memiontec, KSO</t>
  </si>
  <si>
    <t>Proyek. Mainhole IPAL di Kota Makassar</t>
  </si>
  <si>
    <t>SHAF MAINHOLE -Dia. 1800 ; H-300 - Mainhole IPAL di Kota Makassar</t>
  </si>
  <si>
    <t>Dia. 1800 ; H-1000 - Mainhole IPAL di Kota Makassar</t>
  </si>
  <si>
    <t>CV. AFZAL PUTRA UTAMA</t>
  </si>
  <si>
    <t>Proyek. Drainase Balai Besar Veteriner di Kabupaten Maros</t>
  </si>
  <si>
    <t>BOX CULVERT - 600 X 600 X 1200 // Drainase Kantor Indomarco Makassar di Kota Makassar</t>
  </si>
  <si>
    <t>CV. LION JAYA MANDIRI</t>
  </si>
  <si>
    <t>Proyek. Peningkatan Jalan dan Drainase Dalam Kota Tallunglipi Kompleks Pasar Bolu di Rantepao Kab. Toraja Utara</t>
  </si>
  <si>
    <t>U-DITCH 1200 X 1000 X 1200 // Drainase Lingkungan di Kabupaten Pangkep</t>
  </si>
  <si>
    <t>UDC 800L</t>
  </si>
  <si>
    <t>UDC 1200L</t>
  </si>
  <si>
    <t>JAMALUDDIN</t>
  </si>
  <si>
    <t>Proyek. Pembangunan Drainase Lampoko Palla di Kecamatan Balusu, Kabupaten Barru Tahap 2</t>
  </si>
  <si>
    <t>U-DITCH 600 X 600 X 1200 // Peningkatan Jalan dan Drainase Dalam Kota Tallunglipi Kompleks Pasar Bolu di Rantepao Kab. Toraja Utara</t>
  </si>
  <si>
    <t>PT. BASUKI RAHMANTA PUTRA</t>
  </si>
  <si>
    <t>Proyek. Pembangunan Tambak UPT di Kabupaten Pinrang</t>
  </si>
  <si>
    <t>U-DITCH 500 X 500 X 1200 //Tambak UPT di Kabupaten Pinrang</t>
  </si>
  <si>
    <t>U-DITCH 500 X 600 X 1200 //Tambak UPT di Kabupaten Pinrang</t>
  </si>
  <si>
    <t>PT. GLOBAL ASIA SOROWAKO</t>
  </si>
  <si>
    <t>Proyek. Saluran PT. Vale di Morowali</t>
  </si>
  <si>
    <t>U-DITCH 400 X 400 X 1200 //</t>
  </si>
  <si>
    <t>COVER U_DITCH UDC 600L//</t>
  </si>
  <si>
    <t>COVER U_DITCH UDC 400L//</t>
  </si>
  <si>
    <t>U-DITCH 800 X 600 X 1200 //</t>
  </si>
  <si>
    <t>COVER U-DITCH UDC 800H X 600L //</t>
  </si>
  <si>
    <t>BOX CULVERT - 500 X 500 X 1200 //</t>
  </si>
  <si>
    <t>CV. Yayasan Honai Generasi Unggul Papua</t>
  </si>
  <si>
    <t>Proyek. Pembangunan Pagar Mefa Boarding School Nabire</t>
  </si>
  <si>
    <t>Dinding 2920 x 450 x 80 K 350 Polos</t>
  </si>
  <si>
    <t>2920 x 450 x 80 K 350 Stek + Embost</t>
  </si>
  <si>
    <t>2920 x 450 x 80 K 350 + Embost</t>
  </si>
  <si>
    <t>Kolom 200 x 200 x 4000 K 350</t>
  </si>
  <si>
    <t xml:space="preserve"> </t>
  </si>
  <si>
    <t>Stockyard</t>
  </si>
  <si>
    <t>Kolom</t>
  </si>
  <si>
    <t>X_Pos</t>
  </si>
  <si>
    <t>Y_Pos</t>
  </si>
  <si>
    <t>Width</t>
  </si>
  <si>
    <t>Height</t>
  </si>
  <si>
    <t>Location</t>
  </si>
  <si>
    <t>G</t>
  </si>
  <si>
    <t>KIMA 2</t>
  </si>
  <si>
    <t>H</t>
  </si>
  <si>
    <t>I</t>
  </si>
  <si>
    <t>J</t>
  </si>
  <si>
    <t>K</t>
  </si>
  <si>
    <t>L</t>
  </si>
  <si>
    <t>M</t>
  </si>
  <si>
    <t>KIMA 20 &amp; Kareang Bira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</si>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</sst>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p&quot;* #,##0_-;\-&quot;Rp&quot;* #,##0_-;_-&quot;Rp&quot;* &quot;-&quot;??_-;_-@"/>
    <numFmt numFmtId="165" formatCode="_-&quot;Rp&quot;* #,##0.00_-;\-&quot;Rp&quot;* #,##0.00_-;_-&quot;Rp&quot;* &quot;-&quot;??_-;_-@"/>
  </numFmts>
  <fonts count="28">
    <font>
      <sz val="11.0"/>
      <color theme="1"/>
      <name val="Arial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/>
    <font>
      <b/>
      <sz val="8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z val="11.0"/>
      <color rgb="FF980000"/>
      <name val="Aptos Narrow"/>
    </font>
    <font>
      <b/>
      <sz val="11.0"/>
      <color rgb="FF980000"/>
      <name val="Arial"/>
    </font>
    <font>
      <b/>
      <sz val="11.0"/>
      <color rgb="FF980000"/>
      <name val="Aptos Narrow"/>
    </font>
    <font>
      <b/>
      <sz val="8.0"/>
      <color rgb="FF980000"/>
      <name val="Arial"/>
    </font>
    <font>
      <sz val="11.0"/>
      <color rgb="FF0000FF"/>
      <name val="Arial"/>
    </font>
    <font>
      <b/>
      <sz val="11.0"/>
      <color rgb="FF0000FF"/>
      <name val="Aptos Narrow"/>
    </font>
    <font>
      <b/>
      <sz val="11.0"/>
      <color rgb="FF0000FF"/>
      <name val="Arial"/>
    </font>
    <font>
      <sz val="11.0"/>
      <color rgb="FF0000FF"/>
      <name val="Aptos Narrow"/>
    </font>
    <font>
      <sz val="11.0"/>
      <color theme="9"/>
      <name val="Aptos Narrow"/>
    </font>
    <font>
      <b/>
      <sz val="11.0"/>
      <color theme="9"/>
      <name val="Aptos Narrow"/>
    </font>
    <font>
      <b/>
      <sz val="11.0"/>
      <color rgb="FFF79646"/>
      <name val="Arial"/>
    </font>
    <font>
      <b/>
      <sz val="11.0"/>
      <color theme="9"/>
      <name val="Arial"/>
    </font>
    <font>
      <sz val="11.0"/>
      <color rgb="FFF79646"/>
      <name val="Arial"/>
    </font>
    <font>
      <color theme="1"/>
      <name val="Arial"/>
    </font>
    <font>
      <b/>
      <sz val="9.0"/>
      <color theme="1"/>
      <name val="Arial"/>
    </font>
    <font>
      <b/>
      <color rgb="FF0F1115"/>
      <name val="Quote-cjk-patch"/>
    </font>
    <font>
      <b/>
      <color rgb="FF0F1115"/>
      <name val="Arial"/>
    </font>
    <font>
      <b/>
      <color theme="1"/>
      <name val="Arial"/>
    </font>
    <font>
      <color rgb="FF0F1115"/>
      <name val="Arial"/>
    </font>
    <font>
      <b/>
      <color theme="1"/>
      <name val="Arial Narrow"/>
      <scheme val="minor"/>
    </font>
    <font>
      <color theme="1"/>
      <name val="Arial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shrinkToFit="0" vertical="center" wrapText="0"/>
    </xf>
    <xf borderId="4" fillId="0" fontId="3" numFmtId="0" xfId="0" applyBorder="1" applyFont="1"/>
    <xf borderId="5" fillId="0" fontId="3" numFmtId="0" xfId="0" applyBorder="1" applyFont="1"/>
    <xf borderId="1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2" fontId="1" numFmtId="0" xfId="0" applyAlignment="1" applyFont="1">
      <alignment horizontal="center" shrinkToFit="0" vertical="center" wrapText="0"/>
    </xf>
    <xf borderId="11" fillId="0" fontId="3" numFmtId="0" xfId="0" applyBorder="1" applyFont="1"/>
    <xf borderId="12" fillId="2" fontId="1" numFmtId="14" xfId="0" applyAlignment="1" applyBorder="1" applyFont="1" applyNumberFormat="1">
      <alignment horizontal="center" shrinkToFit="0" vertical="bottom" wrapText="0"/>
    </xf>
    <xf borderId="12" fillId="2" fontId="1" numFmtId="0" xfId="0" applyAlignment="1" applyBorder="1" applyFont="1">
      <alignment horizontal="center" shrinkToFit="0" vertical="bottom" wrapText="0"/>
    </xf>
    <xf borderId="12" fillId="2" fontId="2" numFmtId="0" xfId="0" applyAlignment="1" applyBorder="1" applyFont="1">
      <alignment horizontal="center" readingOrder="0" shrinkToFit="0" vertical="bottom" wrapText="0"/>
    </xf>
    <xf borderId="12" fillId="2" fontId="4" numFmtId="0" xfId="0" applyAlignment="1" applyBorder="1" applyFont="1">
      <alignment horizontal="center" readingOrder="0" shrinkToFit="0" vertical="center" wrapText="0"/>
    </xf>
    <xf borderId="12" fillId="2" fontId="1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0" fillId="0" fontId="2" numFmtId="0" xfId="0" applyAlignment="1" applyBorder="1" applyFont="1">
      <alignment horizontal="center" readingOrder="0" shrinkToFit="0" vertical="bottom" wrapText="0"/>
    </xf>
    <xf borderId="10" fillId="0" fontId="2" numFmtId="164" xfId="0" applyAlignment="1" applyBorder="1" applyFont="1" applyNumberFormat="1">
      <alignment readingOrder="0" shrinkToFit="0" vertical="bottom" wrapText="0"/>
    </xf>
    <xf borderId="10" fillId="0" fontId="1" numFmtId="164" xfId="0" applyAlignment="1" applyBorder="1" applyFont="1" applyNumberFormat="1">
      <alignment shrinkToFit="0" vertical="bottom" wrapText="0"/>
    </xf>
    <xf borderId="10" fillId="0" fontId="1" numFmtId="165" xfId="0" applyAlignment="1" applyBorder="1" applyFont="1" applyNumberFormat="1">
      <alignment horizontal="center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2" fillId="0" fontId="1" numFmtId="164" xfId="0" applyAlignment="1" applyBorder="1" applyFont="1" applyNumberFormat="1">
      <alignment shrinkToFit="0" vertical="bottom" wrapText="0"/>
    </xf>
    <xf borderId="2" fillId="0" fontId="1" numFmtId="165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2" fillId="0" fontId="2" numFmtId="164" xfId="0" applyAlignment="1" applyBorder="1" applyFont="1" applyNumberFormat="1">
      <alignment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3" fontId="7" numFmtId="0" xfId="0" applyAlignment="1" applyBorder="1" applyFont="1">
      <alignment shrinkToFit="0" vertical="bottom" wrapText="0"/>
    </xf>
    <xf borderId="2" fillId="3" fontId="8" numFmtId="0" xfId="0" applyAlignment="1" applyBorder="1" applyFont="1">
      <alignment horizontal="center" readingOrder="0" shrinkToFit="0" vertical="bottom" wrapText="0"/>
    </xf>
    <xf borderId="2" fillId="3" fontId="9" numFmtId="0" xfId="0" applyAlignment="1" applyBorder="1" applyFont="1">
      <alignment horizontal="center" shrinkToFit="0" vertical="bottom" wrapText="0"/>
    </xf>
    <xf borderId="2" fillId="0" fontId="9" numFmtId="0" xfId="0" applyAlignment="1" applyBorder="1" applyFont="1">
      <alignment horizontal="center" shrinkToFit="0" vertical="bottom" wrapText="0"/>
    </xf>
    <xf borderId="2" fillId="3" fontId="10" numFmtId="0" xfId="0" applyAlignment="1" applyBorder="1" applyFont="1">
      <alignment horizontal="center" readingOrder="0" shrinkToFit="0" vertical="center" wrapText="0"/>
    </xf>
    <xf borderId="2" fillId="3" fontId="8" numFmtId="164" xfId="0" applyAlignment="1" applyBorder="1" applyFont="1" applyNumberFormat="1">
      <alignment readingOrder="0" shrinkToFit="0" vertical="bottom" wrapText="0"/>
    </xf>
    <xf borderId="2" fillId="0" fontId="11" numFmtId="0" xfId="0" applyAlignment="1" applyBorder="1" applyFont="1">
      <alignment readingOrder="0" shrinkToFit="0" vertical="bottom" wrapText="0"/>
    </xf>
    <xf borderId="2" fillId="0" fontId="12" numFmtId="0" xfId="0" applyAlignment="1" applyBorder="1" applyFont="1">
      <alignment horizontal="center" shrinkToFit="0" vertical="bottom" wrapText="0"/>
    </xf>
    <xf borderId="2" fillId="0" fontId="13" numFmtId="0" xfId="0" applyAlignment="1" applyBorder="1" applyFont="1">
      <alignment horizontal="center" readingOrder="0" shrinkToFit="0" vertical="bottom" wrapText="0"/>
    </xf>
    <xf borderId="2" fillId="0" fontId="13" numFmtId="164" xfId="0" applyAlignment="1" applyBorder="1" applyFont="1" applyNumberFormat="1">
      <alignment readingOrder="0" shrinkToFit="0" vertical="bottom" wrapText="0"/>
    </xf>
    <xf borderId="2" fillId="0" fontId="14" numFmtId="0" xfId="0" applyAlignment="1" applyBorder="1" applyFont="1">
      <alignment shrinkToFit="0" vertical="bottom" wrapText="0"/>
    </xf>
    <xf borderId="2" fillId="0" fontId="15" numFmtId="0" xfId="0" applyAlignment="1" applyBorder="1" applyFont="1">
      <alignment shrinkToFit="0" vertical="bottom" wrapText="0"/>
    </xf>
    <xf borderId="2" fillId="0" fontId="16" numFmtId="0" xfId="0" applyAlignment="1" applyBorder="1" applyFont="1">
      <alignment horizontal="center" shrinkToFit="0" vertical="bottom" wrapText="0"/>
    </xf>
    <xf borderId="2" fillId="0" fontId="17" numFmtId="0" xfId="0" applyAlignment="1" applyBorder="1" applyFont="1">
      <alignment horizontal="center" readingOrder="0" shrinkToFit="0" vertical="bottom" wrapText="0"/>
    </xf>
    <xf borderId="2" fillId="0" fontId="18" numFmtId="164" xfId="0" applyAlignment="1" applyBorder="1" applyFont="1" applyNumberFormat="1">
      <alignment readingOrder="0" shrinkToFit="0" vertical="bottom" wrapText="0"/>
    </xf>
    <xf borderId="2" fillId="0" fontId="19" numFmtId="0" xfId="0" applyAlignment="1" applyBorder="1" applyFont="1">
      <alignment readingOrder="0" shrinkToFit="0" vertical="bottom" wrapText="0"/>
    </xf>
    <xf borderId="2" fillId="0" fontId="17" numFmtId="164" xfId="0" applyAlignment="1" applyBorder="1" applyFont="1" applyNumberFormat="1">
      <alignment readingOrder="0" shrinkToFit="0" vertical="bottom" wrapText="0"/>
    </xf>
    <xf borderId="2" fillId="0" fontId="12" numFmtId="0" xfId="0" applyAlignment="1" applyBorder="1" applyFont="1">
      <alignment shrinkToFit="0" vertical="bottom" wrapText="0"/>
    </xf>
    <xf borderId="6" fillId="0" fontId="20" numFmtId="0" xfId="0" applyAlignment="1" applyBorder="1" applyFont="1">
      <alignment shrinkToFit="0" wrapText="0"/>
    </xf>
    <xf borderId="2" fillId="0" fontId="7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2" fillId="0" fontId="8" numFmtId="164" xfId="0" applyAlignment="1" applyBorder="1" applyFont="1" applyNumberFormat="1">
      <alignment readingOrder="0" shrinkToFit="0" vertical="bottom" wrapText="0"/>
    </xf>
    <xf borderId="2" fillId="0" fontId="12" numFmtId="164" xfId="0" applyAlignment="1" applyBorder="1" applyFont="1" applyNumberFormat="1">
      <alignment shrinkToFit="0" vertical="bottom" wrapText="0"/>
    </xf>
    <xf borderId="13" fillId="0" fontId="21" numFmtId="0" xfId="0" applyAlignment="1" applyBorder="1" applyFont="1">
      <alignment shrinkToFit="0" wrapText="0"/>
    </xf>
    <xf borderId="14" fillId="0" fontId="11" numFmtId="0" xfId="0" applyAlignment="1" applyBorder="1" applyFont="1">
      <alignment readingOrder="0" shrinkToFit="0" vertical="bottom" wrapText="0"/>
    </xf>
    <xf borderId="15" fillId="0" fontId="13" numFmtId="0" xfId="0" applyAlignment="1" applyBorder="1" applyFont="1">
      <alignment readingOrder="0" shrinkToFit="0" vertical="bottom" wrapText="0"/>
    </xf>
    <xf borderId="16" fillId="0" fontId="13" numFmtId="0" xfId="0" applyAlignment="1" applyBorder="1" applyFont="1">
      <alignment readingOrder="0" shrinkToFit="0" vertical="bottom" wrapText="0"/>
    </xf>
    <xf borderId="10" fillId="0" fontId="6" numFmtId="0" xfId="0" applyAlignment="1" applyBorder="1" applyFont="1">
      <alignment horizontal="center" readingOrder="0" shrinkToFit="0" vertical="bottom" wrapText="0"/>
    </xf>
    <xf borderId="2" fillId="0" fontId="6" numFmtId="164" xfId="0" applyAlignment="1" applyBorder="1" applyFont="1" applyNumberFormat="1">
      <alignment readingOrder="0" shrinkToFit="0" vertical="bottom" wrapText="0"/>
    </xf>
    <xf borderId="2" fillId="0" fontId="5" numFmtId="164" xfId="0" applyAlignment="1" applyBorder="1" applyFont="1" applyNumberFormat="1">
      <alignment shrinkToFit="0" vertical="bottom" wrapText="0"/>
    </xf>
    <xf borderId="2" fillId="0" fontId="5" numFmtId="165" xfId="0" applyAlignment="1" applyBorder="1" applyFont="1" applyNumberFormat="1">
      <alignment horizontal="center" shrinkToFit="0" vertical="bottom" wrapText="0"/>
    </xf>
    <xf borderId="2" fillId="0" fontId="6" numFmtId="165" xfId="0" applyAlignment="1" applyBorder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bottom" wrapText="0"/>
    </xf>
    <xf borderId="2" fillId="4" fontId="22" numFmtId="0" xfId="0" applyAlignment="1" applyBorder="1" applyFill="1" applyFont="1">
      <alignment horizontal="center" vertical="bottom"/>
    </xf>
    <xf borderId="16" fillId="4" fontId="22" numFmtId="0" xfId="0" applyAlignment="1" applyBorder="1" applyFont="1">
      <alignment horizontal="center" vertical="bottom"/>
    </xf>
    <xf borderId="16" fillId="4" fontId="23" numFmtId="0" xfId="0" applyAlignment="1" applyBorder="1" applyFont="1">
      <alignment horizontal="center" vertical="bottom"/>
    </xf>
    <xf borderId="16" fillId="4" fontId="24" numFmtId="0" xfId="0" applyAlignment="1" applyBorder="1" applyFont="1">
      <alignment horizontal="center" vertical="bottom"/>
    </xf>
    <xf borderId="10" fillId="5" fontId="23" numFmtId="0" xfId="0" applyAlignment="1" applyBorder="1" applyFill="1" applyFont="1">
      <alignment horizontal="center" readingOrder="0" vertical="bottom"/>
    </xf>
    <xf borderId="9" fillId="5" fontId="20" numFmtId="0" xfId="0" applyAlignment="1" applyBorder="1" applyFont="1">
      <alignment horizontal="center" readingOrder="0" vertical="bottom"/>
    </xf>
    <xf borderId="2" fillId="0" fontId="20" numFmtId="0" xfId="0" applyAlignment="1" applyBorder="1" applyFont="1">
      <alignment horizontal="center" readingOrder="0" vertical="bottom"/>
    </xf>
    <xf borderId="9" fillId="5" fontId="23" numFmtId="0" xfId="0" applyAlignment="1" applyBorder="1" applyFont="1">
      <alignment horizontal="center" readingOrder="0" vertical="bottom"/>
    </xf>
    <xf borderId="9" fillId="5" fontId="20" numFmtId="0" xfId="0" applyAlignment="1" applyBorder="1" applyFont="1">
      <alignment horizontal="center" vertical="bottom"/>
    </xf>
    <xf borderId="9" fillId="5" fontId="25" numFmtId="0" xfId="0" applyAlignment="1" applyBorder="1" applyFont="1">
      <alignment horizontal="center" readingOrder="0" vertical="bottom"/>
    </xf>
    <xf borderId="10" fillId="5" fontId="24" numFmtId="0" xfId="0" applyAlignment="1" applyBorder="1" applyFont="1">
      <alignment horizontal="center" readingOrder="0" vertical="bottom"/>
    </xf>
    <xf borderId="2" fillId="5" fontId="24" numFmtId="0" xfId="0" applyAlignment="1" applyBorder="1" applyFont="1">
      <alignment horizontal="center" readingOrder="0" vertical="bottom"/>
    </xf>
    <xf borderId="2" fillId="5" fontId="20" numFmtId="0" xfId="0" applyAlignment="1" applyBorder="1" applyFont="1">
      <alignment horizontal="center" readingOrder="0" vertical="bottom"/>
    </xf>
    <xf borderId="2" fillId="5" fontId="20" numFmtId="0" xfId="0" applyAlignment="1" applyBorder="1" applyFont="1">
      <alignment horizontal="center" vertical="bottom"/>
    </xf>
    <xf borderId="2" fillId="0" fontId="26" numFmtId="0" xfId="0" applyAlignment="1" applyBorder="1" applyFont="1">
      <alignment horizontal="center" readingOrder="0"/>
    </xf>
    <xf borderId="2" fillId="0" fontId="27" numFmtId="0" xfId="0" applyAlignment="1" applyBorder="1" applyFont="1">
      <alignment horizontal="center" readingOrder="0"/>
    </xf>
    <xf borderId="2" fillId="0" fontId="2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6.75"/>
    <col customWidth="1" min="3" max="3" width="71.88"/>
    <col customWidth="1" min="4" max="4" width="28.13"/>
    <col customWidth="1" min="5" max="6" width="15.63"/>
    <col customWidth="1" min="7" max="19" width="9.0"/>
    <col customWidth="1" min="20" max="20" width="15.25"/>
    <col customWidth="1" min="21" max="33" width="9.0"/>
    <col customWidth="1" hidden="1" min="34" max="36" width="9.0"/>
    <col customWidth="1" min="37" max="40" width="15.63"/>
    <col customWidth="1" min="41" max="41" width="17.25"/>
    <col customWidth="1" min="42" max="42" width="48.38"/>
    <col customWidth="1" min="43" max="74" width="15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4</v>
      </c>
      <c r="G1" s="4" t="s">
        <v>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/>
      <c r="AI1" s="7"/>
      <c r="AJ1" s="7"/>
      <c r="AK1" s="8" t="s">
        <v>6</v>
      </c>
      <c r="AL1" s="8" t="s">
        <v>7</v>
      </c>
      <c r="AM1" s="8" t="s">
        <v>8</v>
      </c>
      <c r="AN1" s="9" t="s">
        <v>9</v>
      </c>
      <c r="AO1" s="9" t="s">
        <v>10</v>
      </c>
      <c r="AP1" s="8" t="s">
        <v>11</v>
      </c>
      <c r="AQ1" s="1" t="s">
        <v>12</v>
      </c>
      <c r="AR1" s="1" t="s">
        <v>13</v>
      </c>
      <c r="AS1" s="1" t="s">
        <v>14</v>
      </c>
      <c r="AT1" s="1" t="s">
        <v>15</v>
      </c>
      <c r="AU1" s="1" t="s">
        <v>16</v>
      </c>
      <c r="AV1" s="1" t="s">
        <v>17</v>
      </c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</row>
    <row r="2" ht="14.25" customHeight="1">
      <c r="A2" s="11"/>
      <c r="B2" s="11"/>
      <c r="C2" s="11"/>
      <c r="D2" s="11"/>
      <c r="E2" s="2" t="s">
        <v>18</v>
      </c>
      <c r="F2" s="2" t="s">
        <v>19</v>
      </c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4"/>
      <c r="AH2" s="7"/>
      <c r="AI2" s="7"/>
      <c r="AJ2" s="7"/>
      <c r="AK2" s="11"/>
      <c r="AL2" s="11"/>
      <c r="AM2" s="11"/>
      <c r="AN2" s="11"/>
      <c r="AO2" s="11"/>
      <c r="AP2" s="11"/>
      <c r="AQ2" s="15"/>
      <c r="AR2" s="15"/>
      <c r="AS2" s="15"/>
      <c r="AT2" s="15"/>
      <c r="AU2" s="15"/>
      <c r="AV2" s="15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</row>
    <row r="3" ht="14.25" customHeight="1">
      <c r="A3" s="15"/>
      <c r="B3" s="15"/>
      <c r="C3" s="15"/>
      <c r="D3" s="17"/>
      <c r="E3" s="18">
        <v>46109.0</v>
      </c>
      <c r="F3" s="18">
        <v>46109.0</v>
      </c>
      <c r="G3" s="19" t="s">
        <v>20</v>
      </c>
      <c r="H3" s="19" t="s">
        <v>21</v>
      </c>
      <c r="I3" s="19" t="s">
        <v>22</v>
      </c>
      <c r="J3" s="19" t="s">
        <v>23</v>
      </c>
      <c r="K3" s="19" t="s">
        <v>24</v>
      </c>
      <c r="L3" s="19" t="s">
        <v>25</v>
      </c>
      <c r="M3" s="20" t="s">
        <v>26</v>
      </c>
      <c r="N3" s="20" t="s">
        <v>27</v>
      </c>
      <c r="O3" s="20" t="s">
        <v>28</v>
      </c>
      <c r="P3" s="20" t="s">
        <v>29</v>
      </c>
      <c r="Q3" s="20" t="s">
        <v>30</v>
      </c>
      <c r="R3" s="20" t="s">
        <v>31</v>
      </c>
      <c r="S3" s="21" t="s">
        <v>32</v>
      </c>
      <c r="T3" s="20" t="s">
        <v>33</v>
      </c>
      <c r="U3" s="20">
        <v>1.0</v>
      </c>
      <c r="V3" s="19">
        <f t="shared" ref="V3:AJ3" si="1">+U3+1</f>
        <v>2</v>
      </c>
      <c r="W3" s="19">
        <f t="shared" si="1"/>
        <v>3</v>
      </c>
      <c r="X3" s="19">
        <f t="shared" si="1"/>
        <v>4</v>
      </c>
      <c r="Y3" s="19">
        <f t="shared" si="1"/>
        <v>5</v>
      </c>
      <c r="Z3" s="19">
        <f t="shared" si="1"/>
        <v>6</v>
      </c>
      <c r="AA3" s="19">
        <f t="shared" si="1"/>
        <v>7</v>
      </c>
      <c r="AB3" s="19">
        <f t="shared" si="1"/>
        <v>8</v>
      </c>
      <c r="AC3" s="19">
        <f t="shared" si="1"/>
        <v>9</v>
      </c>
      <c r="AD3" s="19">
        <f t="shared" si="1"/>
        <v>10</v>
      </c>
      <c r="AE3" s="19">
        <f t="shared" si="1"/>
        <v>11</v>
      </c>
      <c r="AF3" s="19">
        <f t="shared" si="1"/>
        <v>12</v>
      </c>
      <c r="AG3" s="19">
        <f t="shared" si="1"/>
        <v>13</v>
      </c>
      <c r="AH3" s="19">
        <f t="shared" si="1"/>
        <v>14</v>
      </c>
      <c r="AI3" s="19">
        <f t="shared" si="1"/>
        <v>15</v>
      </c>
      <c r="AJ3" s="19">
        <f t="shared" si="1"/>
        <v>16</v>
      </c>
      <c r="AK3" s="17"/>
      <c r="AL3" s="17"/>
      <c r="AM3" s="17"/>
      <c r="AN3" s="17"/>
      <c r="AO3" s="17"/>
      <c r="AP3" s="17"/>
      <c r="AQ3" s="22"/>
      <c r="AR3" s="22"/>
      <c r="AS3" s="22"/>
      <c r="AT3" s="22"/>
      <c r="AU3" s="22"/>
      <c r="AV3" s="22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</row>
    <row r="4" ht="14.25" customHeight="1">
      <c r="A4" s="23">
        <v>1.0</v>
      </c>
      <c r="B4" s="24" t="s">
        <v>34</v>
      </c>
      <c r="C4" s="24" t="s">
        <v>35</v>
      </c>
      <c r="D4" s="25" t="s">
        <v>36</v>
      </c>
      <c r="E4" s="26">
        <v>79.0</v>
      </c>
      <c r="F4" s="27"/>
      <c r="G4" s="26">
        <v>175.0</v>
      </c>
      <c r="H4" s="26">
        <v>6.0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8">
        <f t="shared" ref="AK4:AK13" si="2">SUM(G4:AJ4)</f>
        <v>181</v>
      </c>
      <c r="AL4" s="29">
        <v>0.0</v>
      </c>
      <c r="AM4" s="29" t="s">
        <v>37</v>
      </c>
      <c r="AN4" s="30">
        <v>1357751.0</v>
      </c>
      <c r="AO4" s="31">
        <f t="shared" ref="AO4:AO13" si="3">AN4*AK4</f>
        <v>245752931</v>
      </c>
      <c r="AP4" s="32" t="str">
        <f t="shared" ref="AP4:AP13" si="4">TEXTJOIN("; ",TRUE,IF(AQ4&gt;0,"&lt;30 hari",""),IF(AR4&gt;0,"30-60 hari",""),IF(AS4&gt;0,"60-90 hari",""),IF(AT4&gt;0,"90-180 hari",""),IF(AU4&gt;0,"180-365 hari",""),IF(AV4&gt;0,"&gt;1 tahun",""))</f>
        <v>30-60 hari; 60-90 hari</v>
      </c>
      <c r="AQ4" s="33"/>
      <c r="AR4" s="34">
        <v>50.0</v>
      </c>
      <c r="AS4" s="34">
        <v>29.0</v>
      </c>
      <c r="AT4" s="33"/>
      <c r="AU4" s="33"/>
      <c r="AV4" s="33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</row>
    <row r="5" ht="18.75" customHeight="1">
      <c r="A5" s="23"/>
      <c r="B5" s="24" t="s">
        <v>34</v>
      </c>
      <c r="C5" s="24" t="s">
        <v>35</v>
      </c>
      <c r="D5" s="24" t="s">
        <v>38</v>
      </c>
      <c r="E5" s="26">
        <v>93.0</v>
      </c>
      <c r="F5" s="27"/>
      <c r="G5" s="26">
        <v>80.0</v>
      </c>
      <c r="H5" s="26">
        <v>13.0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>
        <f t="shared" si="2"/>
        <v>93</v>
      </c>
      <c r="AL5" s="29">
        <v>0.0</v>
      </c>
      <c r="AM5" s="26" t="s">
        <v>37</v>
      </c>
      <c r="AN5" s="36">
        <v>1808573.0</v>
      </c>
      <c r="AO5" s="36">
        <f t="shared" si="3"/>
        <v>168197289</v>
      </c>
      <c r="AP5" s="37" t="str">
        <f t="shared" si="4"/>
        <v>90-180 hari</v>
      </c>
      <c r="AQ5" s="33"/>
      <c r="AR5" s="33"/>
      <c r="AS5" s="33"/>
      <c r="AT5" s="34">
        <v>93.0</v>
      </c>
      <c r="AU5" s="33"/>
      <c r="AV5" s="33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</row>
    <row r="6" ht="18.75" customHeight="1">
      <c r="A6" s="23"/>
      <c r="B6" s="24" t="s">
        <v>34</v>
      </c>
      <c r="C6" s="24" t="s">
        <v>35</v>
      </c>
      <c r="D6" s="24" t="s">
        <v>39</v>
      </c>
      <c r="E6" s="26">
        <v>94.0</v>
      </c>
      <c r="F6" s="27"/>
      <c r="G6" s="26">
        <v>85.0</v>
      </c>
      <c r="H6" s="26">
        <v>9.0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>
        <f t="shared" si="2"/>
        <v>94</v>
      </c>
      <c r="AL6" s="29">
        <v>0.0</v>
      </c>
      <c r="AM6" s="27" t="s">
        <v>37</v>
      </c>
      <c r="AN6" s="36">
        <v>2065753.0</v>
      </c>
      <c r="AO6" s="36">
        <f t="shared" si="3"/>
        <v>194180782</v>
      </c>
      <c r="AP6" s="37" t="str">
        <f t="shared" si="4"/>
        <v>&lt;30 hari</v>
      </c>
      <c r="AQ6" s="34">
        <v>94.0</v>
      </c>
      <c r="AR6" s="33"/>
      <c r="AS6" s="33"/>
      <c r="AT6" s="33"/>
      <c r="AU6" s="33"/>
      <c r="AV6" s="33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</row>
    <row r="7" ht="18.75" customHeight="1">
      <c r="A7" s="23"/>
      <c r="B7" s="24" t="s">
        <v>34</v>
      </c>
      <c r="C7" s="24" t="s">
        <v>35</v>
      </c>
      <c r="D7" s="24" t="s">
        <v>40</v>
      </c>
      <c r="E7" s="26">
        <v>580.0</v>
      </c>
      <c r="F7" s="27"/>
      <c r="G7" s="26">
        <v>459.0</v>
      </c>
      <c r="H7" s="26">
        <v>121.0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>
        <f t="shared" si="2"/>
        <v>580</v>
      </c>
      <c r="AL7" s="29">
        <v>0.0</v>
      </c>
      <c r="AM7" s="27" t="s">
        <v>37</v>
      </c>
      <c r="AN7" s="36">
        <v>2412026.0</v>
      </c>
      <c r="AO7" s="36">
        <f t="shared" si="3"/>
        <v>1398975080</v>
      </c>
      <c r="AP7" s="37" t="str">
        <f t="shared" si="4"/>
        <v>&lt;30 hari; 30-60 hari; 60-90 hari</v>
      </c>
      <c r="AQ7" s="34">
        <v>200.0</v>
      </c>
      <c r="AR7" s="34">
        <v>180.0</v>
      </c>
      <c r="AS7" s="34">
        <v>200.0</v>
      </c>
      <c r="AT7" s="33"/>
      <c r="AU7" s="33"/>
      <c r="AV7" s="33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</row>
    <row r="8" ht="18.75" customHeight="1">
      <c r="A8" s="23"/>
      <c r="B8" s="24" t="s">
        <v>41</v>
      </c>
      <c r="C8" s="24" t="s">
        <v>42</v>
      </c>
      <c r="D8" s="24" t="s">
        <v>43</v>
      </c>
      <c r="E8" s="26">
        <v>16.0</v>
      </c>
      <c r="F8" s="27"/>
      <c r="G8" s="26">
        <v>10.0</v>
      </c>
      <c r="H8" s="26">
        <v>6.0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>
        <f t="shared" si="2"/>
        <v>16</v>
      </c>
      <c r="AL8" s="29">
        <v>0.0</v>
      </c>
      <c r="AM8" s="27" t="s">
        <v>37</v>
      </c>
      <c r="AN8" s="36">
        <v>3195847.0</v>
      </c>
      <c r="AO8" s="36">
        <f t="shared" si="3"/>
        <v>51133552</v>
      </c>
      <c r="AP8" s="37" t="str">
        <f t="shared" si="4"/>
        <v>60-90 hari</v>
      </c>
      <c r="AQ8" s="33"/>
      <c r="AR8" s="33"/>
      <c r="AS8" s="34">
        <v>16.0</v>
      </c>
      <c r="AT8" s="33"/>
      <c r="AU8" s="33"/>
      <c r="AV8" s="33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</row>
    <row r="9" ht="18.75" customHeight="1">
      <c r="A9" s="23"/>
      <c r="B9" s="24" t="s">
        <v>41</v>
      </c>
      <c r="C9" s="24" t="s">
        <v>42</v>
      </c>
      <c r="D9" s="24" t="s">
        <v>44</v>
      </c>
      <c r="E9" s="26">
        <v>9.0</v>
      </c>
      <c r="F9" s="27"/>
      <c r="G9" s="26">
        <v>9.0</v>
      </c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>
        <f t="shared" si="2"/>
        <v>9</v>
      </c>
      <c r="AL9" s="29">
        <v>0.0</v>
      </c>
      <c r="AM9" s="27" t="s">
        <v>37</v>
      </c>
      <c r="AN9" s="36">
        <v>3329995.0</v>
      </c>
      <c r="AO9" s="36">
        <f t="shared" si="3"/>
        <v>29969955</v>
      </c>
      <c r="AP9" s="37" t="str">
        <f t="shared" si="4"/>
        <v>60-90 hari</v>
      </c>
      <c r="AQ9" s="33"/>
      <c r="AR9" s="33"/>
      <c r="AS9" s="34">
        <v>9.0</v>
      </c>
      <c r="AT9" s="33"/>
      <c r="AU9" s="33"/>
      <c r="AV9" s="33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</row>
    <row r="10" ht="18.75" customHeight="1">
      <c r="A10" s="23"/>
      <c r="B10" s="24" t="s">
        <v>41</v>
      </c>
      <c r="C10" s="24" t="s">
        <v>42</v>
      </c>
      <c r="D10" s="24" t="s">
        <v>45</v>
      </c>
      <c r="E10" s="26">
        <v>9.0</v>
      </c>
      <c r="F10" s="27"/>
      <c r="G10" s="27"/>
      <c r="H10" s="26">
        <v>9.0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>
        <f t="shared" si="2"/>
        <v>9</v>
      </c>
      <c r="AL10" s="29">
        <v>0.0</v>
      </c>
      <c r="AM10" s="27" t="s">
        <v>37</v>
      </c>
      <c r="AN10" s="36">
        <v>5106765.0</v>
      </c>
      <c r="AO10" s="36">
        <f t="shared" si="3"/>
        <v>45960885</v>
      </c>
      <c r="AP10" s="37" t="str">
        <f t="shared" si="4"/>
        <v>60-90 hari</v>
      </c>
      <c r="AQ10" s="33"/>
      <c r="AR10" s="33"/>
      <c r="AS10" s="34">
        <v>9.0</v>
      </c>
      <c r="AT10" s="33"/>
      <c r="AU10" s="33"/>
      <c r="AV10" s="33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</row>
    <row r="11" ht="18.75" customHeight="1">
      <c r="A11" s="23"/>
      <c r="B11" s="24" t="s">
        <v>46</v>
      </c>
      <c r="C11" s="24" t="s">
        <v>47</v>
      </c>
      <c r="D11" s="24" t="s">
        <v>36</v>
      </c>
      <c r="E11" s="26">
        <v>400.0</v>
      </c>
      <c r="F11" s="27"/>
      <c r="G11" s="26">
        <v>298.0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>
        <f t="shared" si="2"/>
        <v>298</v>
      </c>
      <c r="AL11" s="29">
        <v>0.0</v>
      </c>
      <c r="AM11" s="27" t="s">
        <v>37</v>
      </c>
      <c r="AN11" s="39">
        <v>1357751.0</v>
      </c>
      <c r="AO11" s="36">
        <f t="shared" si="3"/>
        <v>404609798</v>
      </c>
      <c r="AP11" s="37" t="str">
        <f t="shared" si="4"/>
        <v>&lt;30 hari; 30-60 hari; 60-90 hari</v>
      </c>
      <c r="AQ11" s="34">
        <v>220.0</v>
      </c>
      <c r="AR11" s="34">
        <v>100.0</v>
      </c>
      <c r="AS11" s="34">
        <v>80.0</v>
      </c>
      <c r="AT11" s="33"/>
      <c r="AU11" s="33"/>
      <c r="AV11" s="33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</row>
    <row r="12" ht="18.75" customHeight="1">
      <c r="A12" s="23"/>
      <c r="B12" s="24" t="s">
        <v>46</v>
      </c>
      <c r="C12" s="24" t="s">
        <v>47</v>
      </c>
      <c r="D12" s="24" t="s">
        <v>39</v>
      </c>
      <c r="E12" s="26">
        <v>94.0</v>
      </c>
      <c r="F12" s="27"/>
      <c r="G12" s="26">
        <v>94.0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>
        <f t="shared" si="2"/>
        <v>94</v>
      </c>
      <c r="AL12" s="29">
        <v>0.0</v>
      </c>
      <c r="AM12" s="27" t="s">
        <v>37</v>
      </c>
      <c r="AN12" s="36">
        <v>2065753.0</v>
      </c>
      <c r="AO12" s="36">
        <f t="shared" si="3"/>
        <v>194180782</v>
      </c>
      <c r="AP12" s="37" t="str">
        <f t="shared" si="4"/>
        <v>&lt;30 hari; 30-60 hari</v>
      </c>
      <c r="AQ12" s="34">
        <v>44.0</v>
      </c>
      <c r="AR12" s="34">
        <v>50.0</v>
      </c>
      <c r="AS12" s="33"/>
      <c r="AT12" s="33"/>
      <c r="AU12" s="33"/>
      <c r="AV12" s="33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</row>
    <row r="13" ht="18.75" customHeight="1">
      <c r="A13" s="23"/>
      <c r="B13" s="24" t="s">
        <v>46</v>
      </c>
      <c r="C13" s="24" t="s">
        <v>47</v>
      </c>
      <c r="D13" s="24" t="s">
        <v>48</v>
      </c>
      <c r="E13" s="26">
        <v>5.0</v>
      </c>
      <c r="F13" s="27"/>
      <c r="G13" s="26">
        <v>5.0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>
        <f t="shared" si="2"/>
        <v>5</v>
      </c>
      <c r="AL13" s="29">
        <v>0.0</v>
      </c>
      <c r="AM13" s="27" t="s">
        <v>37</v>
      </c>
      <c r="AN13" s="36">
        <v>2213863.0</v>
      </c>
      <c r="AO13" s="36">
        <f t="shared" si="3"/>
        <v>11069315</v>
      </c>
      <c r="AP13" s="37" t="str">
        <f t="shared" si="4"/>
        <v>30-60 hari</v>
      </c>
      <c r="AQ13" s="33"/>
      <c r="AR13" s="34">
        <v>5.0</v>
      </c>
      <c r="AS13" s="33"/>
      <c r="AT13" s="33"/>
      <c r="AU13" s="33"/>
      <c r="AV13" s="33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</row>
    <row r="14" ht="18.75" customHeight="1">
      <c r="A14" s="23"/>
      <c r="B14" s="24"/>
      <c r="C14" s="24"/>
      <c r="D14" s="24"/>
      <c r="E14" s="27"/>
      <c r="F14" s="26"/>
      <c r="G14" s="27"/>
      <c r="H14" s="27"/>
      <c r="I14" s="27"/>
      <c r="J14" s="27"/>
      <c r="K14" s="27"/>
      <c r="L14" s="27"/>
      <c r="M14" s="27"/>
      <c r="N14" s="27"/>
      <c r="O14" s="27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9">
        <v>0.0</v>
      </c>
      <c r="AM14" s="27"/>
      <c r="AN14" s="36"/>
      <c r="AO14" s="36"/>
      <c r="AP14" s="37"/>
      <c r="AQ14" s="33"/>
      <c r="AR14" s="33"/>
      <c r="AS14" s="33"/>
      <c r="AT14" s="33"/>
      <c r="AU14" s="33"/>
      <c r="AV14" s="33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</row>
    <row r="15" ht="18.75" customHeight="1">
      <c r="A15" s="23"/>
      <c r="B15" s="24" t="s">
        <v>49</v>
      </c>
      <c r="C15" s="24" t="s">
        <v>50</v>
      </c>
      <c r="D15" s="24" t="s">
        <v>51</v>
      </c>
      <c r="E15" s="26">
        <v>100.0</v>
      </c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6"/>
      <c r="Q15" s="27"/>
      <c r="R15" s="27"/>
      <c r="S15" s="26">
        <v>50.0</v>
      </c>
      <c r="T15" s="26">
        <v>50.0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>
        <f t="shared" ref="AK15:AK86" si="5">SUM(G15:AJ15)</f>
        <v>100</v>
      </c>
      <c r="AL15" s="29">
        <v>0.0</v>
      </c>
      <c r="AM15" s="27" t="s">
        <v>37</v>
      </c>
      <c r="AN15" s="39">
        <v>2722780.0</v>
      </c>
      <c r="AO15" s="36">
        <f t="shared" ref="AO15:AO86" si="6">AN15*AK15</f>
        <v>272278000</v>
      </c>
      <c r="AP15" s="37" t="str">
        <f t="shared" ref="AP15:AP86" si="7">TEXTJOIN("; ",TRUE,IF(AQ15&gt;0,"&lt;30 hari",""),IF(AR15&gt;0,"30-60 hari",""),IF(AS15&gt;0,"60-90 hari",""),IF(AT15&gt;0,"90-180 hari",""),IF(AU15&gt;0,"180-365 hari",""),IF(AV15&gt;0,"&gt;1 tahun",""))</f>
        <v>&gt;1 tahun</v>
      </c>
      <c r="AQ15" s="33"/>
      <c r="AR15" s="33"/>
      <c r="AS15" s="33"/>
      <c r="AT15" s="33"/>
      <c r="AU15" s="33"/>
      <c r="AV15" s="34">
        <v>100.0</v>
      </c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</row>
    <row r="16" ht="18.75" customHeight="1">
      <c r="A16" s="40"/>
      <c r="B16" s="24" t="s">
        <v>49</v>
      </c>
      <c r="C16" s="24" t="s">
        <v>50</v>
      </c>
      <c r="D16" s="41" t="s">
        <v>52</v>
      </c>
      <c r="E16" s="26">
        <v>189.0</v>
      </c>
      <c r="F16" s="27"/>
      <c r="G16" s="27"/>
      <c r="H16" s="27"/>
      <c r="I16" s="27"/>
      <c r="J16" s="27"/>
      <c r="K16" s="27"/>
      <c r="L16" s="27"/>
      <c r="M16" s="27"/>
      <c r="N16" s="26"/>
      <c r="O16" s="27"/>
      <c r="P16" s="27"/>
      <c r="Q16" s="27"/>
      <c r="R16" s="26">
        <v>50.0</v>
      </c>
      <c r="S16" s="26">
        <v>12.0</v>
      </c>
      <c r="T16" s="26">
        <f>127</f>
        <v>127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6"/>
      <c r="AH16" s="26"/>
      <c r="AI16" s="26"/>
      <c r="AJ16" s="26"/>
      <c r="AK16" s="27">
        <f t="shared" si="5"/>
        <v>189</v>
      </c>
      <c r="AL16" s="29">
        <v>0.0</v>
      </c>
      <c r="AM16" s="26" t="s">
        <v>37</v>
      </c>
      <c r="AN16" s="39">
        <v>2355594.0</v>
      </c>
      <c r="AO16" s="36">
        <f t="shared" si="6"/>
        <v>445207266</v>
      </c>
      <c r="AP16" s="37" t="str">
        <f t="shared" si="7"/>
        <v>&gt;1 tahun</v>
      </c>
      <c r="AQ16" s="33"/>
      <c r="AR16" s="33"/>
      <c r="AS16" s="33"/>
      <c r="AT16" s="33"/>
      <c r="AU16" s="33"/>
      <c r="AV16" s="34">
        <v>189.0</v>
      </c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</row>
    <row r="17" ht="18.75" customHeight="1">
      <c r="A17" s="40"/>
      <c r="B17" s="24" t="s">
        <v>53</v>
      </c>
      <c r="C17" s="24" t="s">
        <v>54</v>
      </c>
      <c r="D17" s="41" t="s">
        <v>55</v>
      </c>
      <c r="E17" s="26">
        <v>6.0</v>
      </c>
      <c r="F17" s="27"/>
      <c r="G17" s="27"/>
      <c r="H17" s="27"/>
      <c r="I17" s="27"/>
      <c r="J17" s="27"/>
      <c r="K17" s="26">
        <v>6.0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6"/>
      <c r="AH17" s="26"/>
      <c r="AI17" s="26"/>
      <c r="AJ17" s="26"/>
      <c r="AK17" s="27">
        <f t="shared" si="5"/>
        <v>6</v>
      </c>
      <c r="AL17" s="29">
        <v>0.0</v>
      </c>
      <c r="AM17" s="26" t="s">
        <v>37</v>
      </c>
      <c r="AN17" s="39">
        <v>5108921.0</v>
      </c>
      <c r="AO17" s="36">
        <f t="shared" si="6"/>
        <v>30653526</v>
      </c>
      <c r="AP17" s="37" t="str">
        <f t="shared" si="7"/>
        <v>30-60 hari</v>
      </c>
      <c r="AQ17" s="33"/>
      <c r="AR17" s="34">
        <v>6.0</v>
      </c>
      <c r="AS17" s="33"/>
      <c r="AT17" s="33"/>
      <c r="AU17" s="33"/>
      <c r="AV17" s="33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</row>
    <row r="18" ht="18.75" customHeight="1">
      <c r="A18" s="40"/>
      <c r="B18" s="24" t="s">
        <v>53</v>
      </c>
      <c r="C18" s="24" t="s">
        <v>54</v>
      </c>
      <c r="D18" s="41" t="s">
        <v>56</v>
      </c>
      <c r="E18" s="26">
        <v>16.0</v>
      </c>
      <c r="F18" s="27"/>
      <c r="G18" s="27"/>
      <c r="H18" s="26">
        <v>2.0</v>
      </c>
      <c r="I18" s="27"/>
      <c r="J18" s="27"/>
      <c r="K18" s="26"/>
      <c r="L18" s="26">
        <v>2.0</v>
      </c>
      <c r="M18" s="27"/>
      <c r="N18" s="27"/>
      <c r="O18" s="27"/>
      <c r="P18" s="26"/>
      <c r="Q18" s="26">
        <v>12.0</v>
      </c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>
        <f t="shared" si="5"/>
        <v>16</v>
      </c>
      <c r="AL18" s="29">
        <v>0.0</v>
      </c>
      <c r="AM18" s="26" t="s">
        <v>37</v>
      </c>
      <c r="AN18" s="39">
        <v>4769635.0</v>
      </c>
      <c r="AO18" s="36">
        <f t="shared" si="6"/>
        <v>76314160</v>
      </c>
      <c r="AP18" s="37" t="str">
        <f t="shared" si="7"/>
        <v>30-60 hari</v>
      </c>
      <c r="AQ18" s="33"/>
      <c r="AR18" s="34">
        <v>16.0</v>
      </c>
      <c r="AS18" s="33"/>
      <c r="AT18" s="33"/>
      <c r="AU18" s="33"/>
      <c r="AV18" s="33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</row>
    <row r="19" ht="18.75" customHeight="1">
      <c r="A19" s="40"/>
      <c r="B19" s="24" t="s">
        <v>53</v>
      </c>
      <c r="C19" s="24" t="s">
        <v>54</v>
      </c>
      <c r="D19" s="24" t="s">
        <v>57</v>
      </c>
      <c r="E19" s="26">
        <f>337</f>
        <v>337</v>
      </c>
      <c r="F19" s="27"/>
      <c r="G19" s="26">
        <v>80.0</v>
      </c>
      <c r="H19" s="26">
        <v>8.0</v>
      </c>
      <c r="I19" s="27"/>
      <c r="J19" s="27"/>
      <c r="K19" s="26">
        <f>130-6-92</f>
        <v>32</v>
      </c>
      <c r="L19" s="26">
        <f>1+22</f>
        <v>23</v>
      </c>
      <c r="M19" s="27"/>
      <c r="N19" s="27"/>
      <c r="O19" s="26"/>
      <c r="P19" s="26"/>
      <c r="Q19" s="26">
        <v>5.0</v>
      </c>
      <c r="R19" s="26">
        <v>14.0</v>
      </c>
      <c r="S19" s="27"/>
      <c r="T19" s="27"/>
      <c r="U19" s="27"/>
      <c r="V19" s="26">
        <v>83.0</v>
      </c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>
        <f t="shared" si="5"/>
        <v>245</v>
      </c>
      <c r="AL19" s="29">
        <v>0.0</v>
      </c>
      <c r="AM19" s="27" t="s">
        <v>37</v>
      </c>
      <c r="AN19" s="39">
        <v>6588371.0</v>
      </c>
      <c r="AO19" s="36">
        <f t="shared" si="6"/>
        <v>1614150895</v>
      </c>
      <c r="AP19" s="37" t="str">
        <f t="shared" si="7"/>
        <v>&lt;30 hari; 30-60 hari; 60-90 hari; 90-180 hari</v>
      </c>
      <c r="AQ19" s="34">
        <v>37.0</v>
      </c>
      <c r="AR19" s="34">
        <v>100.0</v>
      </c>
      <c r="AS19" s="34">
        <v>100.0</v>
      </c>
      <c r="AT19" s="34">
        <v>100.0</v>
      </c>
      <c r="AU19" s="33"/>
      <c r="AV19" s="33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</row>
    <row r="20" ht="18.75" customHeight="1">
      <c r="A20" s="23"/>
      <c r="B20" s="24" t="s">
        <v>53</v>
      </c>
      <c r="C20" s="24" t="s">
        <v>54</v>
      </c>
      <c r="D20" s="24" t="s">
        <v>58</v>
      </c>
      <c r="E20" s="26">
        <v>559.0</v>
      </c>
      <c r="F20" s="27"/>
      <c r="G20" s="26">
        <v>40.0</v>
      </c>
      <c r="H20" s="26">
        <v>8.0</v>
      </c>
      <c r="I20" s="27"/>
      <c r="J20" s="27"/>
      <c r="K20" s="26">
        <f>156-114</f>
        <v>42</v>
      </c>
      <c r="L20" s="26">
        <v>10.0</v>
      </c>
      <c r="M20" s="27"/>
      <c r="N20" s="27"/>
      <c r="O20" s="26">
        <v>10.0</v>
      </c>
      <c r="P20" s="26">
        <v>15.0</v>
      </c>
      <c r="Q20" s="26">
        <v>58.0</v>
      </c>
      <c r="R20" s="26">
        <v>35.0</v>
      </c>
      <c r="S20" s="26">
        <v>55.0</v>
      </c>
      <c r="T20" s="27"/>
      <c r="U20" s="27">
        <f>88</f>
        <v>88</v>
      </c>
      <c r="V20" s="27">
        <f>76+8</f>
        <v>84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>
        <f t="shared" si="5"/>
        <v>445</v>
      </c>
      <c r="AL20" s="29">
        <v>0.0</v>
      </c>
      <c r="AM20" s="27" t="s">
        <v>37</v>
      </c>
      <c r="AN20" s="39">
        <v>5135358.0</v>
      </c>
      <c r="AO20" s="36">
        <f t="shared" si="6"/>
        <v>2285234310</v>
      </c>
      <c r="AP20" s="37" t="str">
        <f t="shared" si="7"/>
        <v>&lt;30 hari; 30-60 hari; 60-90 hari; 90-180 hari; 180-365 hari</v>
      </c>
      <c r="AQ20" s="34">
        <v>159.0</v>
      </c>
      <c r="AR20" s="34">
        <v>150.0</v>
      </c>
      <c r="AS20" s="34">
        <v>100.0</v>
      </c>
      <c r="AT20" s="34">
        <v>100.0</v>
      </c>
      <c r="AU20" s="34">
        <v>50.0</v>
      </c>
      <c r="AV20" s="33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</row>
    <row r="21" ht="18.75" customHeight="1">
      <c r="A21" s="40"/>
      <c r="B21" s="24" t="s">
        <v>59</v>
      </c>
      <c r="C21" s="24" t="s">
        <v>60</v>
      </c>
      <c r="D21" s="24" t="s">
        <v>61</v>
      </c>
      <c r="E21" s="26">
        <v>88.0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6">
        <v>44.0</v>
      </c>
      <c r="T21" s="26">
        <v>44.0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>
        <f t="shared" si="5"/>
        <v>88</v>
      </c>
      <c r="AL21" s="29">
        <v>0.0</v>
      </c>
      <c r="AM21" s="27" t="s">
        <v>37</v>
      </c>
      <c r="AN21" s="39">
        <v>2722780.0</v>
      </c>
      <c r="AO21" s="36">
        <f t="shared" si="6"/>
        <v>239604640</v>
      </c>
      <c r="AP21" s="37" t="str">
        <f t="shared" si="7"/>
        <v>&lt;30 hari; 30-60 hari; 60-90 hari; 90-180 hari</v>
      </c>
      <c r="AQ21" s="34">
        <v>25.0</v>
      </c>
      <c r="AR21" s="34">
        <v>25.0</v>
      </c>
      <c r="AS21" s="34">
        <v>25.0</v>
      </c>
      <c r="AT21" s="34">
        <v>13.0</v>
      </c>
      <c r="AU21" s="33"/>
      <c r="AV21" s="33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</row>
    <row r="22" ht="18.75" customHeight="1">
      <c r="A22" s="40"/>
      <c r="B22" s="24" t="s">
        <v>62</v>
      </c>
      <c r="C22" s="24" t="s">
        <v>63</v>
      </c>
      <c r="D22" s="24" t="s">
        <v>64</v>
      </c>
      <c r="E22" s="26">
        <v>60.0</v>
      </c>
      <c r="F22" s="27"/>
      <c r="G22" s="27"/>
      <c r="H22" s="27"/>
      <c r="I22" s="27"/>
      <c r="J22" s="27"/>
      <c r="K22" s="27"/>
      <c r="L22" s="27"/>
      <c r="M22" s="27"/>
      <c r="N22" s="27"/>
      <c r="O22" s="26"/>
      <c r="P22" s="27"/>
      <c r="Q22" s="26">
        <v>18.0</v>
      </c>
      <c r="R22" s="27"/>
      <c r="S22" s="26">
        <v>42.0</v>
      </c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>
        <f t="shared" si="5"/>
        <v>60</v>
      </c>
      <c r="AL22" s="29">
        <v>0.0</v>
      </c>
      <c r="AM22" s="27" t="s">
        <v>37</v>
      </c>
      <c r="AN22" s="39">
        <v>2280393.0</v>
      </c>
      <c r="AO22" s="36">
        <f t="shared" si="6"/>
        <v>136823580</v>
      </c>
      <c r="AP22" s="37" t="str">
        <f t="shared" si="7"/>
        <v>&lt;30 hari; 30-60 hari; 60-90 hari</v>
      </c>
      <c r="AQ22" s="34">
        <v>10.0</v>
      </c>
      <c r="AR22" s="34">
        <v>15.0</v>
      </c>
      <c r="AS22" s="34">
        <v>35.0</v>
      </c>
      <c r="AT22" s="33"/>
      <c r="AU22" s="33"/>
      <c r="AV22" s="33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</row>
    <row r="23" ht="18.75" customHeight="1">
      <c r="A23" s="23"/>
      <c r="B23" s="24" t="s">
        <v>62</v>
      </c>
      <c r="C23" s="24" t="s">
        <v>63</v>
      </c>
      <c r="D23" s="24" t="s">
        <v>65</v>
      </c>
      <c r="E23" s="26">
        <v>280.0</v>
      </c>
      <c r="F23" s="27"/>
      <c r="G23" s="27"/>
      <c r="H23" s="27"/>
      <c r="I23" s="27"/>
      <c r="J23" s="27"/>
      <c r="K23" s="26">
        <v>91.0</v>
      </c>
      <c r="L23" s="27"/>
      <c r="M23" s="27"/>
      <c r="N23" s="27"/>
      <c r="O23" s="27"/>
      <c r="P23" s="27"/>
      <c r="Q23" s="26">
        <v>60.0</v>
      </c>
      <c r="R23" s="27"/>
      <c r="S23" s="26">
        <v>100.0</v>
      </c>
      <c r="T23" s="26">
        <v>29.0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>
        <f t="shared" si="5"/>
        <v>280</v>
      </c>
      <c r="AL23" s="29">
        <v>0.0</v>
      </c>
      <c r="AM23" s="27" t="s">
        <v>37</v>
      </c>
      <c r="AN23" s="39">
        <v>2606397.0</v>
      </c>
      <c r="AO23" s="36">
        <f t="shared" si="6"/>
        <v>729791160</v>
      </c>
      <c r="AP23" s="37" t="str">
        <f t="shared" si="7"/>
        <v>&lt;30 hari; 30-60 hari; 60-90 hari; 90-180 hari</v>
      </c>
      <c r="AQ23" s="34">
        <v>80.0</v>
      </c>
      <c r="AR23" s="34">
        <v>100.0</v>
      </c>
      <c r="AS23" s="34">
        <v>50.0</v>
      </c>
      <c r="AT23" s="34">
        <v>50.0</v>
      </c>
      <c r="AU23" s="33"/>
      <c r="AV23" s="33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</row>
    <row r="24" ht="18.75" customHeight="1">
      <c r="A24" s="23"/>
      <c r="B24" s="24" t="s">
        <v>62</v>
      </c>
      <c r="C24" s="24" t="s">
        <v>63</v>
      </c>
      <c r="D24" s="24" t="s">
        <v>66</v>
      </c>
      <c r="E24" s="26">
        <v>72.0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6">
        <v>52.0</v>
      </c>
      <c r="T24" s="26">
        <v>20.0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>
        <f t="shared" si="5"/>
        <v>72</v>
      </c>
      <c r="AL24" s="29">
        <v>0.0</v>
      </c>
      <c r="AM24" s="27" t="s">
        <v>37</v>
      </c>
      <c r="AN24" s="39">
        <v>2290173.0</v>
      </c>
      <c r="AO24" s="36">
        <f t="shared" si="6"/>
        <v>164892456</v>
      </c>
      <c r="AP24" s="37" t="str">
        <f t="shared" si="7"/>
        <v>&lt;30 hari; 30-60 hari; 60-90 hari</v>
      </c>
      <c r="AQ24" s="34">
        <v>22.0</v>
      </c>
      <c r="AR24" s="34">
        <v>25.0</v>
      </c>
      <c r="AS24" s="34">
        <v>25.0</v>
      </c>
      <c r="AT24" s="33"/>
      <c r="AU24" s="33"/>
      <c r="AV24" s="33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</row>
    <row r="25" ht="18.75" customHeight="1">
      <c r="A25" s="40"/>
      <c r="B25" s="24" t="s">
        <v>67</v>
      </c>
      <c r="C25" s="24" t="s">
        <v>68</v>
      </c>
      <c r="D25" s="24" t="s">
        <v>69</v>
      </c>
      <c r="E25" s="26">
        <v>71.0</v>
      </c>
      <c r="F25" s="27"/>
      <c r="G25" s="26">
        <v>5.0</v>
      </c>
      <c r="H25" s="26">
        <v>6.0</v>
      </c>
      <c r="I25" s="27"/>
      <c r="J25" s="27"/>
      <c r="K25" s="26">
        <v>18.0</v>
      </c>
      <c r="L25" s="26">
        <v>40.0</v>
      </c>
      <c r="M25" s="26"/>
      <c r="N25" s="27"/>
      <c r="O25" s="27"/>
      <c r="P25" s="27"/>
      <c r="Q25" s="27"/>
      <c r="R25" s="27"/>
      <c r="S25" s="27"/>
      <c r="T25" s="26">
        <v>2.0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>
        <f t="shared" si="5"/>
        <v>71</v>
      </c>
      <c r="AL25" s="29">
        <v>0.0</v>
      </c>
      <c r="AM25" s="27" t="s">
        <v>37</v>
      </c>
      <c r="AN25" s="39">
        <v>6707440.0</v>
      </c>
      <c r="AO25" s="36">
        <f t="shared" si="6"/>
        <v>476228240</v>
      </c>
      <c r="AP25" s="37" t="str">
        <f t="shared" si="7"/>
        <v>&lt;30 hari; 30-60 hari</v>
      </c>
      <c r="AQ25" s="34">
        <v>50.0</v>
      </c>
      <c r="AR25" s="34">
        <v>21.0</v>
      </c>
      <c r="AS25" s="33"/>
      <c r="AT25" s="33"/>
      <c r="AU25" s="33"/>
      <c r="AV25" s="33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</row>
    <row r="26" ht="18.75" customHeight="1">
      <c r="A26" s="23"/>
      <c r="B26" s="24" t="s">
        <v>67</v>
      </c>
      <c r="C26" s="24" t="s">
        <v>70</v>
      </c>
      <c r="D26" s="24" t="s">
        <v>71</v>
      </c>
      <c r="E26" s="26">
        <v>11.0</v>
      </c>
      <c r="F26" s="27"/>
      <c r="G26" s="27"/>
      <c r="H26" s="27"/>
      <c r="I26" s="27"/>
      <c r="J26" s="27"/>
      <c r="K26" s="26">
        <f>6-3</f>
        <v>3</v>
      </c>
      <c r="L26" s="26">
        <v>5.0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>
        <f t="shared" si="5"/>
        <v>8</v>
      </c>
      <c r="AL26" s="29">
        <v>0.0</v>
      </c>
      <c r="AM26" s="27" t="s">
        <v>37</v>
      </c>
      <c r="AN26" s="39">
        <v>3793632.0</v>
      </c>
      <c r="AO26" s="36">
        <f t="shared" si="6"/>
        <v>30349056</v>
      </c>
      <c r="AP26" s="37" t="str">
        <f t="shared" si="7"/>
        <v>&lt;30 hari; 30-60 hari</v>
      </c>
      <c r="AQ26" s="34">
        <v>5.0</v>
      </c>
      <c r="AR26" s="34">
        <v>6.0</v>
      </c>
      <c r="AS26" s="33"/>
      <c r="AT26" s="33"/>
      <c r="AU26" s="33"/>
      <c r="AV26" s="33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</row>
    <row r="27" ht="18.75" customHeight="1">
      <c r="A27" s="23"/>
      <c r="B27" s="24" t="s">
        <v>67</v>
      </c>
      <c r="C27" s="24" t="s">
        <v>70</v>
      </c>
      <c r="D27" s="24" t="s">
        <v>72</v>
      </c>
      <c r="E27" s="26">
        <v>44.0</v>
      </c>
      <c r="F27" s="27"/>
      <c r="G27" s="27"/>
      <c r="H27" s="27"/>
      <c r="I27" s="27"/>
      <c r="J27" s="27"/>
      <c r="K27" s="26">
        <v>9.0</v>
      </c>
      <c r="L27" s="26">
        <f>22-14</f>
        <v>8</v>
      </c>
      <c r="M27" s="27"/>
      <c r="N27" s="27"/>
      <c r="O27" s="27"/>
      <c r="P27" s="27"/>
      <c r="Q27" s="26">
        <v>6.0</v>
      </c>
      <c r="R27" s="26">
        <v>6.0</v>
      </c>
      <c r="S27" s="26">
        <v>1.0</v>
      </c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f t="shared" si="5"/>
        <v>30</v>
      </c>
      <c r="AL27" s="29">
        <v>0.0</v>
      </c>
      <c r="AM27" s="27" t="s">
        <v>37</v>
      </c>
      <c r="AN27" s="39">
        <v>4285466.0</v>
      </c>
      <c r="AO27" s="36">
        <f t="shared" si="6"/>
        <v>128563980</v>
      </c>
      <c r="AP27" s="37" t="str">
        <f t="shared" si="7"/>
        <v>&lt;30 hari; 30-60 hari</v>
      </c>
      <c r="AQ27" s="34">
        <v>24.0</v>
      </c>
      <c r="AR27" s="34">
        <v>20.0</v>
      </c>
      <c r="AS27" s="33"/>
      <c r="AT27" s="33"/>
      <c r="AU27" s="33"/>
      <c r="AV27" s="33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</row>
    <row r="28" ht="18.75" customHeight="1">
      <c r="A28" s="23"/>
      <c r="B28" s="24" t="s">
        <v>67</v>
      </c>
      <c r="C28" s="24" t="s">
        <v>70</v>
      </c>
      <c r="D28" s="24" t="s">
        <v>73</v>
      </c>
      <c r="E28" s="26">
        <v>32.0</v>
      </c>
      <c r="F28" s="27"/>
      <c r="G28" s="27"/>
      <c r="H28" s="27"/>
      <c r="I28" s="27"/>
      <c r="J28" s="27"/>
      <c r="K28" s="27"/>
      <c r="L28" s="26">
        <v>4.0</v>
      </c>
      <c r="M28" s="27"/>
      <c r="N28" s="27"/>
      <c r="O28" s="27"/>
      <c r="P28" s="27"/>
      <c r="Q28" s="27"/>
      <c r="R28" s="27"/>
      <c r="S28" s="26">
        <v>28.0</v>
      </c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>
        <f t="shared" si="5"/>
        <v>32</v>
      </c>
      <c r="AL28" s="29">
        <v>0.0</v>
      </c>
      <c r="AM28" s="27" t="s">
        <v>37</v>
      </c>
      <c r="AN28" s="39">
        <v>4777300.0</v>
      </c>
      <c r="AO28" s="36">
        <f t="shared" si="6"/>
        <v>152873600</v>
      </c>
      <c r="AP28" s="37" t="str">
        <f t="shared" si="7"/>
        <v>&lt;30 hari; 30-60 hari</v>
      </c>
      <c r="AQ28" s="34">
        <v>20.0</v>
      </c>
      <c r="AR28" s="34">
        <v>12.0</v>
      </c>
      <c r="AS28" s="33"/>
      <c r="AT28" s="33"/>
      <c r="AU28" s="33"/>
      <c r="AV28" s="33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</row>
    <row r="29" ht="18.75" customHeight="1">
      <c r="A29" s="23"/>
      <c r="B29" s="24" t="s">
        <v>67</v>
      </c>
      <c r="C29" s="24" t="s">
        <v>70</v>
      </c>
      <c r="D29" s="24" t="s">
        <v>74</v>
      </c>
      <c r="E29" s="26">
        <v>32.0</v>
      </c>
      <c r="F29" s="27"/>
      <c r="G29" s="27"/>
      <c r="H29" s="27"/>
      <c r="I29" s="27"/>
      <c r="J29" s="27"/>
      <c r="K29" s="27"/>
      <c r="L29" s="26">
        <v>27.0</v>
      </c>
      <c r="M29" s="27"/>
      <c r="N29" s="27"/>
      <c r="O29" s="27"/>
      <c r="P29" s="27"/>
      <c r="Q29" s="27"/>
      <c r="R29" s="27"/>
      <c r="S29" s="26">
        <v>8.0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>
        <f t="shared" si="5"/>
        <v>35</v>
      </c>
      <c r="AL29" s="29">
        <v>0.0</v>
      </c>
      <c r="AM29" s="27" t="s">
        <v>37</v>
      </c>
      <c r="AN29" s="39">
        <v>5311576.0</v>
      </c>
      <c r="AO29" s="36">
        <f t="shared" si="6"/>
        <v>185905160</v>
      </c>
      <c r="AP29" s="37" t="str">
        <f t="shared" si="7"/>
        <v>&lt;30 hari; 30-60 hari</v>
      </c>
      <c r="AQ29" s="34">
        <v>18.0</v>
      </c>
      <c r="AR29" s="34">
        <v>14.0</v>
      </c>
      <c r="AS29" s="33"/>
      <c r="AT29" s="33"/>
      <c r="AU29" s="33"/>
      <c r="AV29" s="33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</row>
    <row r="30" ht="18.75" customHeight="1">
      <c r="A30" s="23"/>
      <c r="B30" s="24" t="s">
        <v>67</v>
      </c>
      <c r="C30" s="24" t="s">
        <v>70</v>
      </c>
      <c r="D30" s="24" t="s">
        <v>75</v>
      </c>
      <c r="E30" s="26">
        <v>50.0</v>
      </c>
      <c r="F30" s="27"/>
      <c r="G30" s="26">
        <v>5.0</v>
      </c>
      <c r="H30" s="26">
        <v>8.0</v>
      </c>
      <c r="I30" s="27"/>
      <c r="J30" s="27"/>
      <c r="K30" s="26">
        <v>3.0</v>
      </c>
      <c r="L30" s="26">
        <f>11-9</f>
        <v>2</v>
      </c>
      <c r="M30" s="27"/>
      <c r="N30" s="27"/>
      <c r="O30" s="26"/>
      <c r="P30" s="26">
        <v>1.0</v>
      </c>
      <c r="Q30" s="26">
        <v>5.0</v>
      </c>
      <c r="R30" s="26">
        <v>6.0</v>
      </c>
      <c r="S30" s="27"/>
      <c r="T30" s="26">
        <v>11.0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>
        <f t="shared" si="5"/>
        <v>41</v>
      </c>
      <c r="AL30" s="29">
        <v>0.0</v>
      </c>
      <c r="AM30" s="27" t="s">
        <v>37</v>
      </c>
      <c r="AN30" s="39">
        <v>7278912.0</v>
      </c>
      <c r="AO30" s="36">
        <f t="shared" si="6"/>
        <v>298435392</v>
      </c>
      <c r="AP30" s="37" t="str">
        <f t="shared" si="7"/>
        <v>&lt;30 hari; 30-60 hari</v>
      </c>
      <c r="AQ30" s="34">
        <v>35.0</v>
      </c>
      <c r="AR30" s="34">
        <v>15.0</v>
      </c>
      <c r="AS30" s="33"/>
      <c r="AT30" s="33"/>
      <c r="AU30" s="33"/>
      <c r="AV30" s="33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</row>
    <row r="31" ht="18.75" customHeight="1">
      <c r="A31" s="23"/>
      <c r="B31" s="24" t="s">
        <v>67</v>
      </c>
      <c r="C31" s="24" t="s">
        <v>70</v>
      </c>
      <c r="D31" s="24" t="s">
        <v>76</v>
      </c>
      <c r="E31" s="26">
        <v>10.0</v>
      </c>
      <c r="F31" s="27"/>
      <c r="G31" s="26">
        <v>5.0</v>
      </c>
      <c r="H31" s="27"/>
      <c r="I31" s="27"/>
      <c r="J31" s="27"/>
      <c r="K31" s="27"/>
      <c r="L31" s="26">
        <v>5.0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>
        <f t="shared" si="5"/>
        <v>10</v>
      </c>
      <c r="AL31" s="29">
        <v>0.0</v>
      </c>
      <c r="AM31" s="27" t="s">
        <v>37</v>
      </c>
      <c r="AN31" s="39">
        <v>6787078.0</v>
      </c>
      <c r="AO31" s="36">
        <f t="shared" si="6"/>
        <v>67870780</v>
      </c>
      <c r="AP31" s="37" t="str">
        <f t="shared" si="7"/>
        <v>&lt;30 hari; 30-60 hari</v>
      </c>
      <c r="AQ31" s="34">
        <v>5.0</v>
      </c>
      <c r="AR31" s="34">
        <v>5.0</v>
      </c>
      <c r="AS31" s="33"/>
      <c r="AT31" s="33"/>
      <c r="AU31" s="33"/>
      <c r="AV31" s="33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</row>
    <row r="32" ht="18.75" customHeight="1">
      <c r="A32" s="40"/>
      <c r="B32" s="24" t="s">
        <v>77</v>
      </c>
      <c r="C32" s="24" t="s">
        <v>78</v>
      </c>
      <c r="D32" s="24" t="s">
        <v>79</v>
      </c>
      <c r="E32" s="26">
        <v>48.0</v>
      </c>
      <c r="F32" s="27"/>
      <c r="G32" s="27"/>
      <c r="H32" s="27"/>
      <c r="I32" s="27"/>
      <c r="J32" s="27"/>
      <c r="K32" s="26">
        <v>48.0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>
        <f t="shared" si="5"/>
        <v>48</v>
      </c>
      <c r="AL32" s="29">
        <v>0.0</v>
      </c>
      <c r="AM32" s="27" t="s">
        <v>37</v>
      </c>
      <c r="AN32" s="39">
        <v>3001911.0</v>
      </c>
      <c r="AO32" s="36">
        <f t="shared" si="6"/>
        <v>144091728</v>
      </c>
      <c r="AP32" s="37" t="str">
        <f t="shared" si="7"/>
        <v>&lt;30 hari; 30-60 hari</v>
      </c>
      <c r="AQ32" s="34">
        <v>20.0</v>
      </c>
      <c r="AR32" s="34">
        <v>28.0</v>
      </c>
      <c r="AS32" s="34"/>
      <c r="AT32" s="33"/>
      <c r="AU32" s="33"/>
      <c r="AV32" s="33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</row>
    <row r="33" ht="18.75" customHeight="1">
      <c r="A33" s="23"/>
      <c r="B33" s="24" t="s">
        <v>77</v>
      </c>
      <c r="C33" s="24" t="s">
        <v>78</v>
      </c>
      <c r="D33" s="41" t="s">
        <v>80</v>
      </c>
      <c r="E33" s="26">
        <v>35.0</v>
      </c>
      <c r="F33" s="27"/>
      <c r="G33" s="27"/>
      <c r="H33" s="27"/>
      <c r="I33" s="27"/>
      <c r="J33" s="27"/>
      <c r="K33" s="26">
        <v>3.0</v>
      </c>
      <c r="L33" s="26">
        <v>16.0</v>
      </c>
      <c r="M33" s="27"/>
      <c r="N33" s="27"/>
      <c r="O33" s="27"/>
      <c r="P33" s="27"/>
      <c r="Q33" s="27"/>
      <c r="R33" s="27"/>
      <c r="S33" s="26">
        <v>16.0</v>
      </c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>
        <f t="shared" si="5"/>
        <v>35</v>
      </c>
      <c r="AL33" s="29">
        <v>0.0</v>
      </c>
      <c r="AM33" s="27" t="s">
        <v>37</v>
      </c>
      <c r="AN33" s="39">
        <v>3026326.0</v>
      </c>
      <c r="AO33" s="36">
        <f t="shared" si="6"/>
        <v>105921410</v>
      </c>
      <c r="AP33" s="37" t="str">
        <f t="shared" si="7"/>
        <v>&lt;30 hari; 30-60 hari</v>
      </c>
      <c r="AQ33" s="34">
        <v>15.0</v>
      </c>
      <c r="AR33" s="34">
        <v>20.0</v>
      </c>
      <c r="AS33" s="33"/>
      <c r="AT33" s="33"/>
      <c r="AU33" s="33"/>
      <c r="AV33" s="33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</row>
    <row r="34" ht="18.75" customHeight="1">
      <c r="A34" s="40"/>
      <c r="B34" s="24" t="s">
        <v>81</v>
      </c>
      <c r="C34" s="24" t="s">
        <v>82</v>
      </c>
      <c r="D34" s="24" t="s">
        <v>83</v>
      </c>
      <c r="E34" s="26">
        <v>6.0</v>
      </c>
      <c r="F34" s="27"/>
      <c r="G34" s="27"/>
      <c r="H34" s="27"/>
      <c r="I34" s="27"/>
      <c r="J34" s="27"/>
      <c r="K34" s="26">
        <v>5.0</v>
      </c>
      <c r="L34" s="26">
        <v>1.0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>
        <f t="shared" si="5"/>
        <v>6</v>
      </c>
      <c r="AL34" s="29">
        <v>0.0</v>
      </c>
      <c r="AM34" s="27" t="s">
        <v>37</v>
      </c>
      <c r="AN34" s="39">
        <v>2486018.0</v>
      </c>
      <c r="AO34" s="36">
        <f t="shared" si="6"/>
        <v>14916108</v>
      </c>
      <c r="AP34" s="37" t="str">
        <f t="shared" si="7"/>
        <v>60-90 hari</v>
      </c>
      <c r="AQ34" s="34"/>
      <c r="AR34" s="34"/>
      <c r="AS34" s="34">
        <v>6.0</v>
      </c>
      <c r="AT34" s="33"/>
      <c r="AU34" s="33"/>
      <c r="AV34" s="33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</row>
    <row r="35" ht="18.75" customHeight="1">
      <c r="A35" s="40"/>
      <c r="B35" s="24" t="s">
        <v>84</v>
      </c>
      <c r="C35" s="24" t="s">
        <v>85</v>
      </c>
      <c r="D35" s="24" t="s">
        <v>86</v>
      </c>
      <c r="E35" s="26">
        <v>150.0</v>
      </c>
      <c r="F35" s="27"/>
      <c r="G35" s="27"/>
      <c r="H35" s="27"/>
      <c r="I35" s="27"/>
      <c r="J35" s="27"/>
      <c r="K35" s="26">
        <v>80.0</v>
      </c>
      <c r="L35" s="26">
        <v>69.0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>
        <f t="shared" si="5"/>
        <v>149</v>
      </c>
      <c r="AL35" s="29">
        <v>0.0</v>
      </c>
      <c r="AM35" s="27" t="s">
        <v>37</v>
      </c>
      <c r="AN35" s="39">
        <v>2268238.0</v>
      </c>
      <c r="AO35" s="36">
        <f t="shared" si="6"/>
        <v>337967462</v>
      </c>
      <c r="AP35" s="37" t="str">
        <f t="shared" si="7"/>
        <v>&lt;30 hari; 30-60 hari; 60-90 hari</v>
      </c>
      <c r="AQ35" s="34">
        <v>75.0</v>
      </c>
      <c r="AR35" s="34">
        <v>50.0</v>
      </c>
      <c r="AS35" s="34">
        <v>25.0</v>
      </c>
      <c r="AT35" s="33"/>
      <c r="AU35" s="33"/>
      <c r="AV35" s="33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</row>
    <row r="36" ht="18.75" customHeight="1">
      <c r="A36" s="23"/>
      <c r="B36" s="24" t="s">
        <v>84</v>
      </c>
      <c r="C36" s="24" t="s">
        <v>85</v>
      </c>
      <c r="D36" s="24" t="s">
        <v>87</v>
      </c>
      <c r="E36" s="26">
        <v>40.0</v>
      </c>
      <c r="F36" s="27"/>
      <c r="G36" s="27"/>
      <c r="H36" s="27"/>
      <c r="I36" s="27"/>
      <c r="J36" s="27"/>
      <c r="K36" s="26">
        <v>35.0</v>
      </c>
      <c r="L36" s="26">
        <v>5.0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>
        <f t="shared" si="5"/>
        <v>40</v>
      </c>
      <c r="AL36" s="29">
        <v>0.0</v>
      </c>
      <c r="AM36" s="27" t="s">
        <v>37</v>
      </c>
      <c r="AN36" s="39">
        <v>1658056.0</v>
      </c>
      <c r="AO36" s="36">
        <f t="shared" si="6"/>
        <v>66322240</v>
      </c>
      <c r="AP36" s="37" t="str">
        <f t="shared" si="7"/>
        <v>&lt;30 hari; 30-60 hari</v>
      </c>
      <c r="AQ36" s="34">
        <v>20.0</v>
      </c>
      <c r="AR36" s="34">
        <v>20.0</v>
      </c>
      <c r="AS36" s="33"/>
      <c r="AT36" s="33"/>
      <c r="AU36" s="33"/>
      <c r="AV36" s="33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</row>
    <row r="37" ht="18.75" customHeight="1">
      <c r="A37" s="23"/>
      <c r="B37" s="24" t="s">
        <v>84</v>
      </c>
      <c r="C37" s="24" t="s">
        <v>85</v>
      </c>
      <c r="D37" s="24" t="s">
        <v>88</v>
      </c>
      <c r="E37" s="26">
        <v>90.0</v>
      </c>
      <c r="F37" s="27"/>
      <c r="G37" s="27"/>
      <c r="H37" s="27"/>
      <c r="I37" s="27"/>
      <c r="J37" s="27"/>
      <c r="K37" s="26">
        <v>66.0</v>
      </c>
      <c r="L37" s="26">
        <v>24.0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>
        <f t="shared" si="5"/>
        <v>90</v>
      </c>
      <c r="AL37" s="29">
        <v>0.0</v>
      </c>
      <c r="AM37" s="27" t="s">
        <v>37</v>
      </c>
      <c r="AN37" s="39">
        <v>1870558.0</v>
      </c>
      <c r="AO37" s="36">
        <f t="shared" si="6"/>
        <v>168350220</v>
      </c>
      <c r="AP37" s="37" t="str">
        <f t="shared" si="7"/>
        <v>&lt;30 hari; 30-60 hari</v>
      </c>
      <c r="AQ37" s="34">
        <v>60.0</v>
      </c>
      <c r="AR37" s="34">
        <v>30.0</v>
      </c>
      <c r="AS37" s="33"/>
      <c r="AT37" s="33"/>
      <c r="AU37" s="33"/>
      <c r="AV37" s="33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</row>
    <row r="38" ht="18.75" customHeight="1">
      <c r="A38" s="40"/>
      <c r="B38" s="24" t="s">
        <v>89</v>
      </c>
      <c r="C38" s="24" t="s">
        <v>90</v>
      </c>
      <c r="D38" s="24" t="s">
        <v>91</v>
      </c>
      <c r="E38" s="26">
        <v>15.0</v>
      </c>
      <c r="F38" s="27"/>
      <c r="G38" s="27"/>
      <c r="H38" s="27"/>
      <c r="I38" s="27"/>
      <c r="J38" s="27"/>
      <c r="K38" s="26">
        <v>10.0</v>
      </c>
      <c r="L38" s="26">
        <v>5.0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>
        <f t="shared" si="5"/>
        <v>15</v>
      </c>
      <c r="AL38" s="29">
        <v>0.0</v>
      </c>
      <c r="AM38" s="27" t="s">
        <v>37</v>
      </c>
      <c r="AN38" s="39">
        <v>5768382.0</v>
      </c>
      <c r="AO38" s="36">
        <f t="shared" si="6"/>
        <v>86525730</v>
      </c>
      <c r="AP38" s="37" t="str">
        <f t="shared" si="7"/>
        <v>&lt;30 hari</v>
      </c>
      <c r="AQ38" s="34">
        <v>15.0</v>
      </c>
      <c r="AR38" s="33"/>
      <c r="AS38" s="33"/>
      <c r="AT38" s="33"/>
      <c r="AU38" s="33"/>
      <c r="AV38" s="33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</row>
    <row r="39" ht="18.75" customHeight="1">
      <c r="A39" s="23"/>
      <c r="B39" s="24" t="s">
        <v>89</v>
      </c>
      <c r="C39" s="24" t="s">
        <v>90</v>
      </c>
      <c r="D39" s="24" t="s">
        <v>92</v>
      </c>
      <c r="E39" s="26">
        <v>10.0</v>
      </c>
      <c r="F39" s="27"/>
      <c r="G39" s="27"/>
      <c r="H39" s="27"/>
      <c r="I39" s="27"/>
      <c r="J39" s="27"/>
      <c r="K39" s="26">
        <v>6.0</v>
      </c>
      <c r="L39" s="26">
        <v>4.0</v>
      </c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>
        <f t="shared" si="5"/>
        <v>10</v>
      </c>
      <c r="AL39" s="29">
        <v>0.0</v>
      </c>
      <c r="AM39" s="27" t="s">
        <v>37</v>
      </c>
      <c r="AN39" s="39">
        <v>5332052.0</v>
      </c>
      <c r="AO39" s="36">
        <f t="shared" si="6"/>
        <v>53320520</v>
      </c>
      <c r="AP39" s="37" t="str">
        <f t="shared" si="7"/>
        <v>&lt;30 hari</v>
      </c>
      <c r="AQ39" s="34">
        <v>10.0</v>
      </c>
      <c r="AR39" s="33"/>
      <c r="AS39" s="33"/>
      <c r="AT39" s="33"/>
      <c r="AU39" s="33"/>
      <c r="AV39" s="33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</row>
    <row r="40" ht="18.75" customHeight="1">
      <c r="A40" s="40"/>
      <c r="B40" s="24" t="s">
        <v>93</v>
      </c>
      <c r="C40" s="24" t="s">
        <v>94</v>
      </c>
      <c r="D40" s="42" t="s">
        <v>95</v>
      </c>
      <c r="E40" s="43">
        <v>22.0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3">
        <v>22.0</v>
      </c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5">
        <f t="shared" si="5"/>
        <v>22</v>
      </c>
      <c r="AL40" s="29">
        <v>0.0</v>
      </c>
      <c r="AM40" s="46" t="s">
        <v>96</v>
      </c>
      <c r="AN40" s="47">
        <v>2941020.0</v>
      </c>
      <c r="AO40" s="36">
        <f t="shared" si="6"/>
        <v>64702440</v>
      </c>
      <c r="AP40" s="37" t="str">
        <f t="shared" si="7"/>
        <v>&gt;1 tahun</v>
      </c>
      <c r="AQ40" s="33"/>
      <c r="AR40" s="33"/>
      <c r="AS40" s="33"/>
      <c r="AT40" s="33"/>
      <c r="AU40" s="33"/>
      <c r="AV40" s="33">
        <v>22.0</v>
      </c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</row>
    <row r="41" ht="18.75" customHeight="1">
      <c r="A41" s="40"/>
      <c r="B41" s="24" t="s">
        <v>97</v>
      </c>
      <c r="C41" s="24" t="s">
        <v>98</v>
      </c>
      <c r="D41" s="42" t="s">
        <v>99</v>
      </c>
      <c r="E41" s="43">
        <v>7.0</v>
      </c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3">
        <v>4.0</v>
      </c>
      <c r="R41" s="43">
        <v>3.0</v>
      </c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5">
        <f t="shared" si="5"/>
        <v>7</v>
      </c>
      <c r="AL41" s="29">
        <v>0.0</v>
      </c>
      <c r="AM41" s="46" t="s">
        <v>96</v>
      </c>
      <c r="AN41" s="47">
        <v>3692238.0</v>
      </c>
      <c r="AO41" s="36">
        <f t="shared" si="6"/>
        <v>25845666</v>
      </c>
      <c r="AP41" s="37" t="str">
        <f t="shared" si="7"/>
        <v>&gt;1 tahun</v>
      </c>
      <c r="AQ41" s="33"/>
      <c r="AR41" s="33"/>
      <c r="AS41" s="33"/>
      <c r="AT41" s="33"/>
      <c r="AU41" s="33"/>
      <c r="AV41" s="33">
        <v>7.0</v>
      </c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</row>
    <row r="42" ht="18.75" customHeight="1">
      <c r="A42" s="23"/>
      <c r="B42" s="24" t="s">
        <v>97</v>
      </c>
      <c r="C42" s="24" t="s">
        <v>98</v>
      </c>
      <c r="D42" s="42" t="s">
        <v>100</v>
      </c>
      <c r="E42" s="43">
        <v>1.0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3">
        <v>1.0</v>
      </c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5">
        <f t="shared" si="5"/>
        <v>1</v>
      </c>
      <c r="AL42" s="29">
        <v>0.0</v>
      </c>
      <c r="AM42" s="46" t="s">
        <v>96</v>
      </c>
      <c r="AN42" s="47">
        <v>4031931.0</v>
      </c>
      <c r="AO42" s="36">
        <f t="shared" si="6"/>
        <v>4031931</v>
      </c>
      <c r="AP42" s="37" t="str">
        <f t="shared" si="7"/>
        <v>&gt;1 tahun</v>
      </c>
      <c r="AQ42" s="33"/>
      <c r="AR42" s="33"/>
      <c r="AS42" s="33"/>
      <c r="AT42" s="33"/>
      <c r="AU42" s="33"/>
      <c r="AV42" s="33">
        <v>1.0</v>
      </c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</row>
    <row r="43" ht="18.75" customHeight="1">
      <c r="A43" s="23"/>
      <c r="B43" s="24" t="s">
        <v>97</v>
      </c>
      <c r="C43" s="24" t="s">
        <v>98</v>
      </c>
      <c r="D43" s="42" t="s">
        <v>101</v>
      </c>
      <c r="E43" s="43">
        <v>10.0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3">
        <v>5.0</v>
      </c>
      <c r="R43" s="43">
        <v>5.0</v>
      </c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5">
        <f t="shared" si="5"/>
        <v>10</v>
      </c>
      <c r="AL43" s="29">
        <v>0.0</v>
      </c>
      <c r="AM43" s="46" t="s">
        <v>96</v>
      </c>
      <c r="AN43" s="47">
        <v>2675907.0</v>
      </c>
      <c r="AO43" s="36">
        <f t="shared" si="6"/>
        <v>26759070</v>
      </c>
      <c r="AP43" s="37" t="str">
        <f t="shared" si="7"/>
        <v>&gt;1 tahun</v>
      </c>
      <c r="AQ43" s="33"/>
      <c r="AR43" s="33"/>
      <c r="AS43" s="33"/>
      <c r="AT43" s="33"/>
      <c r="AU43" s="33"/>
      <c r="AV43" s="33">
        <v>10.0</v>
      </c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</row>
    <row r="44" ht="18.75" customHeight="1">
      <c r="A44" s="23"/>
      <c r="B44" s="24" t="s">
        <v>97</v>
      </c>
      <c r="C44" s="24" t="s">
        <v>98</v>
      </c>
      <c r="D44" s="42" t="s">
        <v>102</v>
      </c>
      <c r="E44" s="43">
        <v>3.0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3">
        <v>3.0</v>
      </c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5">
        <f t="shared" si="5"/>
        <v>3</v>
      </c>
      <c r="AL44" s="29">
        <v>0.0</v>
      </c>
      <c r="AM44" s="46" t="s">
        <v>96</v>
      </c>
      <c r="AN44" s="47">
        <v>1605898.0</v>
      </c>
      <c r="AO44" s="36">
        <f t="shared" si="6"/>
        <v>4817694</v>
      </c>
      <c r="AP44" s="37" t="str">
        <f t="shared" si="7"/>
        <v>&gt;1 tahun</v>
      </c>
      <c r="AQ44" s="33"/>
      <c r="AR44" s="33"/>
      <c r="AS44" s="33"/>
      <c r="AT44" s="33"/>
      <c r="AU44" s="33"/>
      <c r="AV44" s="33">
        <v>3.0</v>
      </c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</row>
    <row r="45" ht="18.75" customHeight="1">
      <c r="A45" s="23"/>
      <c r="B45" s="24" t="s">
        <v>97</v>
      </c>
      <c r="C45" s="24" t="s">
        <v>98</v>
      </c>
      <c r="D45" s="42" t="s">
        <v>103</v>
      </c>
      <c r="E45" s="43">
        <v>3.0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3">
        <v>3.0</v>
      </c>
      <c r="S45" s="44"/>
      <c r="T45" s="44"/>
      <c r="U45" s="44"/>
      <c r="V45" s="44"/>
      <c r="W45" s="44"/>
      <c r="X45" s="44"/>
      <c r="Y45" s="44"/>
      <c r="Z45" s="43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5">
        <f t="shared" si="5"/>
        <v>3</v>
      </c>
      <c r="AL45" s="29">
        <v>0.0</v>
      </c>
      <c r="AM45" s="46" t="s">
        <v>96</v>
      </c>
      <c r="AN45" s="47">
        <v>2942416.0</v>
      </c>
      <c r="AO45" s="36">
        <f t="shared" si="6"/>
        <v>8827248</v>
      </c>
      <c r="AP45" s="37" t="str">
        <f t="shared" si="7"/>
        <v>&gt;1 tahun</v>
      </c>
      <c r="AQ45" s="33"/>
      <c r="AR45" s="33"/>
      <c r="AS45" s="33"/>
      <c r="AT45" s="33"/>
      <c r="AU45" s="33"/>
      <c r="AV45" s="33">
        <v>3.0</v>
      </c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</row>
    <row r="46" ht="18.75" customHeight="1">
      <c r="A46" s="40"/>
      <c r="B46" s="24" t="s">
        <v>104</v>
      </c>
      <c r="C46" s="24"/>
      <c r="D46" s="48" t="s">
        <v>105</v>
      </c>
      <c r="E46" s="49"/>
      <c r="F46" s="50">
        <v>22.0</v>
      </c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50">
        <v>10.0</v>
      </c>
      <c r="R46" s="50">
        <v>12.0</v>
      </c>
      <c r="S46" s="49"/>
      <c r="T46" s="49"/>
      <c r="U46" s="49"/>
      <c r="V46" s="49"/>
      <c r="W46" s="49"/>
      <c r="X46" s="49"/>
      <c r="Y46" s="49"/>
      <c r="Z46" s="50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>
        <f t="shared" si="5"/>
        <v>22</v>
      </c>
      <c r="AL46" s="29">
        <v>0.0</v>
      </c>
      <c r="AM46" s="50" t="s">
        <v>37</v>
      </c>
      <c r="AN46" s="51">
        <v>6688605.0</v>
      </c>
      <c r="AO46" s="36">
        <f t="shared" si="6"/>
        <v>147149310</v>
      </c>
      <c r="AP46" s="37" t="str">
        <f t="shared" si="7"/>
        <v>&gt;1 tahun</v>
      </c>
      <c r="AQ46" s="33"/>
      <c r="AR46" s="33"/>
      <c r="AS46" s="33"/>
      <c r="AT46" s="33"/>
      <c r="AU46" s="33"/>
      <c r="AV46" s="34">
        <v>22.0</v>
      </c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</row>
    <row r="47" ht="18.75" customHeight="1">
      <c r="A47" s="40"/>
      <c r="B47" s="24" t="s">
        <v>106</v>
      </c>
      <c r="C47" s="24"/>
      <c r="D47" s="52" t="s">
        <v>107</v>
      </c>
      <c r="E47" s="49"/>
      <c r="F47" s="50">
        <v>10.0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50">
        <v>5.0</v>
      </c>
      <c r="R47" s="50">
        <v>5.0</v>
      </c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>
        <f t="shared" si="5"/>
        <v>10</v>
      </c>
      <c r="AL47" s="29">
        <v>0.0</v>
      </c>
      <c r="AM47" s="49" t="s">
        <v>37</v>
      </c>
      <c r="AN47" s="51">
        <v>1893585.0</v>
      </c>
      <c r="AO47" s="36">
        <f t="shared" si="6"/>
        <v>18935850</v>
      </c>
      <c r="AP47" s="37" t="str">
        <f t="shared" si="7"/>
        <v>&gt;1 tahun</v>
      </c>
      <c r="AQ47" s="33"/>
      <c r="AR47" s="33"/>
      <c r="AS47" s="33"/>
      <c r="AT47" s="33"/>
      <c r="AU47" s="33"/>
      <c r="AV47" s="34">
        <v>10.0</v>
      </c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</row>
    <row r="48" ht="18.75" customHeight="1">
      <c r="A48" s="40"/>
      <c r="B48" s="24" t="s">
        <v>108</v>
      </c>
      <c r="C48" s="24" t="s">
        <v>109</v>
      </c>
      <c r="D48" s="52" t="s">
        <v>110</v>
      </c>
      <c r="E48" s="49"/>
      <c r="F48" s="50">
        <v>1.0</v>
      </c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50">
        <v>1.0</v>
      </c>
      <c r="AK48" s="49">
        <f t="shared" si="5"/>
        <v>1</v>
      </c>
      <c r="AL48" s="29">
        <v>0.0</v>
      </c>
      <c r="AM48" s="49" t="s">
        <v>37</v>
      </c>
      <c r="AN48" s="51">
        <v>9332677.0</v>
      </c>
      <c r="AO48" s="36">
        <f t="shared" si="6"/>
        <v>9332677</v>
      </c>
      <c r="AP48" s="37" t="str">
        <f t="shared" si="7"/>
        <v>&gt;1 tahun</v>
      </c>
      <c r="AQ48" s="33"/>
      <c r="AR48" s="33"/>
      <c r="AS48" s="33"/>
      <c r="AT48" s="33"/>
      <c r="AU48" s="33"/>
      <c r="AV48" s="34">
        <v>1.0</v>
      </c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</row>
    <row r="49" ht="18.75" customHeight="1">
      <c r="A49" s="40"/>
      <c r="B49" s="24" t="s">
        <v>111</v>
      </c>
      <c r="C49" s="24"/>
      <c r="D49" s="52" t="s">
        <v>112</v>
      </c>
      <c r="E49" s="49"/>
      <c r="F49" s="50">
        <v>30.0</v>
      </c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50">
        <v>30.0</v>
      </c>
      <c r="AK49" s="49">
        <f t="shared" si="5"/>
        <v>30</v>
      </c>
      <c r="AL49" s="29">
        <v>0.0</v>
      </c>
      <c r="AM49" s="49" t="s">
        <v>37</v>
      </c>
      <c r="AN49" s="51">
        <v>2397070.0</v>
      </c>
      <c r="AO49" s="36">
        <f t="shared" si="6"/>
        <v>71912100</v>
      </c>
      <c r="AP49" s="37" t="str">
        <f t="shared" si="7"/>
        <v>&gt;1 tahun</v>
      </c>
      <c r="AQ49" s="33"/>
      <c r="AR49" s="33"/>
      <c r="AS49" s="33"/>
      <c r="AT49" s="33"/>
      <c r="AU49" s="33"/>
      <c r="AV49" s="34">
        <v>30.0</v>
      </c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</row>
    <row r="50" ht="18.75" customHeight="1">
      <c r="A50" s="40"/>
      <c r="B50" s="24" t="s">
        <v>113</v>
      </c>
      <c r="C50" s="24"/>
      <c r="D50" s="52" t="s">
        <v>114</v>
      </c>
      <c r="E50" s="49"/>
      <c r="F50" s="50">
        <v>2.0</v>
      </c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>
        <v>2.0</v>
      </c>
      <c r="AC50" s="49"/>
      <c r="AD50" s="49"/>
      <c r="AE50" s="49"/>
      <c r="AF50" s="49"/>
      <c r="AG50" s="49"/>
      <c r="AH50" s="49"/>
      <c r="AI50" s="49"/>
      <c r="AJ50" s="49"/>
      <c r="AK50" s="49">
        <f t="shared" si="5"/>
        <v>2</v>
      </c>
      <c r="AL50" s="29">
        <v>0.0</v>
      </c>
      <c r="AM50" s="49" t="s">
        <v>37</v>
      </c>
      <c r="AN50" s="51">
        <v>3118507.0</v>
      </c>
      <c r="AO50" s="36">
        <f t="shared" si="6"/>
        <v>6237014</v>
      </c>
      <c r="AP50" s="37" t="str">
        <f t="shared" si="7"/>
        <v>&gt;1 tahun</v>
      </c>
      <c r="AQ50" s="33"/>
      <c r="AR50" s="33"/>
      <c r="AS50" s="33"/>
      <c r="AT50" s="33"/>
      <c r="AU50" s="33"/>
      <c r="AV50" s="34">
        <v>2.0</v>
      </c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</row>
    <row r="51" ht="18.75" customHeight="1">
      <c r="A51" s="40"/>
      <c r="B51" s="24" t="s">
        <v>115</v>
      </c>
      <c r="C51" s="24" t="s">
        <v>116</v>
      </c>
      <c r="D51" s="52" t="s">
        <v>117</v>
      </c>
      <c r="E51" s="49"/>
      <c r="F51" s="50">
        <v>2.0</v>
      </c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50">
        <v>2.0</v>
      </c>
      <c r="AK51" s="49">
        <f t="shared" si="5"/>
        <v>2</v>
      </c>
      <c r="AL51" s="29">
        <v>0.0</v>
      </c>
      <c r="AM51" s="49" t="s">
        <v>37</v>
      </c>
      <c r="AN51" s="51">
        <v>2284664.0</v>
      </c>
      <c r="AO51" s="36">
        <f t="shared" si="6"/>
        <v>4569328</v>
      </c>
      <c r="AP51" s="37" t="str">
        <f t="shared" si="7"/>
        <v>&gt;1 tahun</v>
      </c>
      <c r="AQ51" s="33"/>
      <c r="AR51" s="33"/>
      <c r="AS51" s="33"/>
      <c r="AT51" s="33"/>
      <c r="AU51" s="33"/>
      <c r="AV51" s="34">
        <v>2.0</v>
      </c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</row>
    <row r="52" ht="18.75" customHeight="1">
      <c r="A52" s="40"/>
      <c r="B52" s="24" t="s">
        <v>118</v>
      </c>
      <c r="C52" s="24" t="s">
        <v>119</v>
      </c>
      <c r="D52" s="52" t="s">
        <v>120</v>
      </c>
      <c r="E52" s="49"/>
      <c r="F52" s="50">
        <v>62.0</v>
      </c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50">
        <v>32.0</v>
      </c>
      <c r="AD52" s="49"/>
      <c r="AE52" s="49"/>
      <c r="AF52" s="49"/>
      <c r="AG52" s="49"/>
      <c r="AH52" s="50">
        <v>29.0</v>
      </c>
      <c r="AI52" s="49"/>
      <c r="AJ52" s="50">
        <v>1.0</v>
      </c>
      <c r="AK52" s="49">
        <f t="shared" si="5"/>
        <v>62</v>
      </c>
      <c r="AL52" s="29">
        <v>0.0</v>
      </c>
      <c r="AM52" s="49" t="s">
        <v>37</v>
      </c>
      <c r="AN52" s="51">
        <v>9743261.0</v>
      </c>
      <c r="AO52" s="36">
        <f t="shared" si="6"/>
        <v>604082182</v>
      </c>
      <c r="AP52" s="37" t="str">
        <f t="shared" si="7"/>
        <v>&gt;1 tahun</v>
      </c>
      <c r="AQ52" s="33"/>
      <c r="AR52" s="33"/>
      <c r="AS52" s="33"/>
      <c r="AT52" s="33"/>
      <c r="AU52" s="33"/>
      <c r="AV52" s="34">
        <v>62.0</v>
      </c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</row>
    <row r="53" ht="18.75" customHeight="1">
      <c r="A53" s="40"/>
      <c r="B53" s="24" t="s">
        <v>121</v>
      </c>
      <c r="C53" s="24" t="s">
        <v>122</v>
      </c>
      <c r="D53" s="52" t="s">
        <v>123</v>
      </c>
      <c r="E53" s="49"/>
      <c r="F53" s="50">
        <v>2.0</v>
      </c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>
        <v>2.0</v>
      </c>
      <c r="AC53" s="49"/>
      <c r="AD53" s="49"/>
      <c r="AE53" s="49"/>
      <c r="AF53" s="49"/>
      <c r="AG53" s="49"/>
      <c r="AH53" s="49"/>
      <c r="AI53" s="49"/>
      <c r="AJ53" s="49"/>
      <c r="AK53" s="49">
        <f t="shared" si="5"/>
        <v>2</v>
      </c>
      <c r="AL53" s="29">
        <v>0.0</v>
      </c>
      <c r="AM53" s="49" t="s">
        <v>37</v>
      </c>
      <c r="AN53" s="51">
        <v>4973819.0</v>
      </c>
      <c r="AO53" s="36">
        <f t="shared" si="6"/>
        <v>9947638</v>
      </c>
      <c r="AP53" s="37" t="str">
        <f t="shared" si="7"/>
        <v>&gt;1 tahun</v>
      </c>
      <c r="AQ53" s="33"/>
      <c r="AR53" s="33"/>
      <c r="AS53" s="33"/>
      <c r="AT53" s="33"/>
      <c r="AU53" s="33"/>
      <c r="AV53" s="34">
        <v>2.0</v>
      </c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</row>
    <row r="54" ht="18.75" customHeight="1">
      <c r="A54" s="40"/>
      <c r="B54" s="24" t="s">
        <v>124</v>
      </c>
      <c r="C54" s="24" t="s">
        <v>125</v>
      </c>
      <c r="D54" s="52" t="s">
        <v>126</v>
      </c>
      <c r="E54" s="49"/>
      <c r="F54" s="50">
        <v>1.0</v>
      </c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50">
        <v>1.0</v>
      </c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>
        <f t="shared" si="5"/>
        <v>1</v>
      </c>
      <c r="AL54" s="29">
        <v>0.0</v>
      </c>
      <c r="AM54" s="49" t="s">
        <v>37</v>
      </c>
      <c r="AN54" s="51">
        <v>2966923.0</v>
      </c>
      <c r="AO54" s="36">
        <f t="shared" si="6"/>
        <v>2966923</v>
      </c>
      <c r="AP54" s="37" t="str">
        <f t="shared" si="7"/>
        <v>&gt;1 tahun</v>
      </c>
      <c r="AQ54" s="33"/>
      <c r="AR54" s="33"/>
      <c r="AS54" s="33"/>
      <c r="AT54" s="33"/>
      <c r="AU54" s="33"/>
      <c r="AV54" s="34">
        <v>1.0</v>
      </c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</row>
    <row r="55" ht="18.75" customHeight="1">
      <c r="A55" s="40"/>
      <c r="B55" s="24" t="s">
        <v>127</v>
      </c>
      <c r="C55" s="24"/>
      <c r="D55" s="52" t="s">
        <v>128</v>
      </c>
      <c r="E55" s="49"/>
      <c r="F55" s="50">
        <v>2.0</v>
      </c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50">
        <v>2.0</v>
      </c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>
        <f t="shared" si="5"/>
        <v>2</v>
      </c>
      <c r="AL55" s="29">
        <v>0.0</v>
      </c>
      <c r="AM55" s="49" t="s">
        <v>37</v>
      </c>
      <c r="AN55" s="51">
        <v>2862845.0</v>
      </c>
      <c r="AO55" s="36">
        <f t="shared" si="6"/>
        <v>5725690</v>
      </c>
      <c r="AP55" s="37" t="str">
        <f t="shared" si="7"/>
        <v>&gt;1 tahun</v>
      </c>
      <c r="AQ55" s="33"/>
      <c r="AR55" s="33"/>
      <c r="AS55" s="33"/>
      <c r="AT55" s="33"/>
      <c r="AU55" s="33"/>
      <c r="AV55" s="34">
        <v>2.0</v>
      </c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</row>
    <row r="56" ht="18.75" customHeight="1">
      <c r="A56" s="40"/>
      <c r="B56" s="24" t="s">
        <v>129</v>
      </c>
      <c r="C56" s="24" t="s">
        <v>130</v>
      </c>
      <c r="D56" s="53" t="s">
        <v>131</v>
      </c>
      <c r="E56" s="54"/>
      <c r="F56" s="55">
        <f>180+18+2</f>
        <v>200</v>
      </c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5">
        <v>100.0</v>
      </c>
      <c r="R56" s="55">
        <v>50.0</v>
      </c>
      <c r="S56" s="55">
        <v>50.0</v>
      </c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>
        <f t="shared" si="5"/>
        <v>200</v>
      </c>
      <c r="AL56" s="29">
        <v>0.0</v>
      </c>
      <c r="AM56" s="55" t="s">
        <v>132</v>
      </c>
      <c r="AN56" s="56">
        <v>3351200.0</v>
      </c>
      <c r="AO56" s="36">
        <f t="shared" si="6"/>
        <v>670240000</v>
      </c>
      <c r="AP56" s="37" t="str">
        <f t="shared" si="7"/>
        <v>&gt;1 tahun</v>
      </c>
      <c r="AQ56" s="33"/>
      <c r="AR56" s="33"/>
      <c r="AS56" s="33"/>
      <c r="AT56" s="33"/>
      <c r="AU56" s="33"/>
      <c r="AV56" s="34">
        <v>200.0</v>
      </c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</row>
    <row r="57" ht="18.75" customHeight="1">
      <c r="A57" s="40"/>
      <c r="B57" s="24" t="s">
        <v>129</v>
      </c>
      <c r="C57" s="24" t="s">
        <v>130</v>
      </c>
      <c r="D57" s="53" t="s">
        <v>133</v>
      </c>
      <c r="E57" s="54"/>
      <c r="F57" s="54">
        <f>177+18+2</f>
        <v>197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5">
        <v>100.0</v>
      </c>
      <c r="R57" s="55">
        <v>97.0</v>
      </c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>
        <f t="shared" si="5"/>
        <v>197</v>
      </c>
      <c r="AL57" s="29">
        <v>0.0</v>
      </c>
      <c r="AM57" s="54" t="s">
        <v>132</v>
      </c>
      <c r="AN57" s="56">
        <v>3593259.0</v>
      </c>
      <c r="AO57" s="36">
        <f t="shared" si="6"/>
        <v>707872023</v>
      </c>
      <c r="AP57" s="37" t="str">
        <f t="shared" si="7"/>
        <v>&gt;1 tahun</v>
      </c>
      <c r="AQ57" s="33"/>
      <c r="AR57" s="33"/>
      <c r="AS57" s="33"/>
      <c r="AT57" s="33"/>
      <c r="AU57" s="33"/>
      <c r="AV57" s="34">
        <v>197.0</v>
      </c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</row>
    <row r="58" ht="18.75" customHeight="1">
      <c r="A58" s="40"/>
      <c r="B58" s="24" t="s">
        <v>129</v>
      </c>
      <c r="C58" s="24" t="s">
        <v>130</v>
      </c>
      <c r="D58" s="53" t="s">
        <v>134</v>
      </c>
      <c r="E58" s="54"/>
      <c r="F58" s="54">
        <f>0+4</f>
        <v>4</v>
      </c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5">
        <v>4.0</v>
      </c>
      <c r="AD58" s="54"/>
      <c r="AE58" s="54"/>
      <c r="AF58" s="54"/>
      <c r="AG58" s="54"/>
      <c r="AH58" s="54"/>
      <c r="AI58" s="54"/>
      <c r="AJ58" s="54"/>
      <c r="AK58" s="54">
        <f t="shared" si="5"/>
        <v>4</v>
      </c>
      <c r="AL58" s="29">
        <v>0.0</v>
      </c>
      <c r="AM58" s="54" t="s">
        <v>132</v>
      </c>
      <c r="AN58" s="56">
        <v>6989025.0</v>
      </c>
      <c r="AO58" s="36">
        <f t="shared" si="6"/>
        <v>27956100</v>
      </c>
      <c r="AP58" s="37" t="str">
        <f t="shared" si="7"/>
        <v>&gt;1 tahun</v>
      </c>
      <c r="AQ58" s="33"/>
      <c r="AR58" s="33"/>
      <c r="AS58" s="33"/>
      <c r="AT58" s="33"/>
      <c r="AU58" s="33"/>
      <c r="AV58" s="34">
        <v>4.0</v>
      </c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</row>
    <row r="59" ht="18.75" customHeight="1">
      <c r="A59" s="40"/>
      <c r="B59" s="24" t="s">
        <v>129</v>
      </c>
      <c r="C59" s="24" t="s">
        <v>130</v>
      </c>
      <c r="D59" s="53" t="s">
        <v>135</v>
      </c>
      <c r="E59" s="54"/>
      <c r="F59" s="54">
        <f>40</f>
        <v>40</v>
      </c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5">
        <v>40.0</v>
      </c>
      <c r="AD59" s="54"/>
      <c r="AE59" s="54"/>
      <c r="AF59" s="54"/>
      <c r="AG59" s="54"/>
      <c r="AH59" s="54"/>
      <c r="AI59" s="54"/>
      <c r="AJ59" s="54"/>
      <c r="AK59" s="54">
        <f t="shared" si="5"/>
        <v>40</v>
      </c>
      <c r="AL59" s="29">
        <v>0.0</v>
      </c>
      <c r="AM59" s="54" t="s">
        <v>132</v>
      </c>
      <c r="AN59" s="56">
        <v>7367641.0</v>
      </c>
      <c r="AO59" s="36">
        <f t="shared" si="6"/>
        <v>294705640</v>
      </c>
      <c r="AP59" s="37" t="str">
        <f t="shared" si="7"/>
        <v>&gt;1 tahun</v>
      </c>
      <c r="AQ59" s="33"/>
      <c r="AR59" s="33"/>
      <c r="AS59" s="33"/>
      <c r="AT59" s="33"/>
      <c r="AU59" s="33"/>
      <c r="AV59" s="34">
        <v>40.0</v>
      </c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</row>
    <row r="60" ht="18.75" customHeight="1">
      <c r="A60" s="40"/>
      <c r="B60" s="24" t="s">
        <v>136</v>
      </c>
      <c r="C60" s="24" t="s">
        <v>130</v>
      </c>
      <c r="D60" s="53" t="s">
        <v>137</v>
      </c>
      <c r="E60" s="54"/>
      <c r="F60" s="54">
        <f>4</f>
        <v>4</v>
      </c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5">
        <v>4.0</v>
      </c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>
        <f t="shared" si="5"/>
        <v>4</v>
      </c>
      <c r="AL60" s="29">
        <v>0.0</v>
      </c>
      <c r="AM60" s="54" t="s">
        <v>132</v>
      </c>
      <c r="AN60" s="56">
        <v>2593299.0</v>
      </c>
      <c r="AO60" s="36">
        <f t="shared" si="6"/>
        <v>10373196</v>
      </c>
      <c r="AP60" s="37" t="str">
        <f t="shared" si="7"/>
        <v>&gt;1 tahun</v>
      </c>
      <c r="AQ60" s="33"/>
      <c r="AR60" s="33"/>
      <c r="AS60" s="33"/>
      <c r="AT60" s="33"/>
      <c r="AU60" s="33"/>
      <c r="AV60" s="34">
        <v>4.0</v>
      </c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</row>
    <row r="61" ht="18.75" customHeight="1">
      <c r="A61" s="40"/>
      <c r="B61" s="24" t="s">
        <v>136</v>
      </c>
      <c r="C61" s="24" t="s">
        <v>130</v>
      </c>
      <c r="D61" s="53" t="s">
        <v>138</v>
      </c>
      <c r="E61" s="54"/>
      <c r="F61" s="54">
        <f>14</f>
        <v>14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5">
        <v>14.0</v>
      </c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>
        <f t="shared" si="5"/>
        <v>14</v>
      </c>
      <c r="AL61" s="29">
        <v>0.0</v>
      </c>
      <c r="AM61" s="54" t="s">
        <v>132</v>
      </c>
      <c r="AN61" s="56">
        <v>2749740.0</v>
      </c>
      <c r="AO61" s="36">
        <f t="shared" si="6"/>
        <v>38496360</v>
      </c>
      <c r="AP61" s="37" t="str">
        <f t="shared" si="7"/>
        <v>&gt;1 tahun</v>
      </c>
      <c r="AQ61" s="33"/>
      <c r="AR61" s="33"/>
      <c r="AS61" s="33"/>
      <c r="AT61" s="33"/>
      <c r="AU61" s="33"/>
      <c r="AV61" s="34">
        <v>14.0</v>
      </c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</row>
    <row r="62" ht="18.75" customHeight="1">
      <c r="A62" s="40"/>
      <c r="B62" s="24" t="s">
        <v>136</v>
      </c>
      <c r="C62" s="24" t="s">
        <v>130</v>
      </c>
      <c r="D62" s="57" t="s">
        <v>139</v>
      </c>
      <c r="E62" s="54"/>
      <c r="F62" s="54">
        <f>1</f>
        <v>1</v>
      </c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5">
        <v>1.0</v>
      </c>
      <c r="AC62" s="54"/>
      <c r="AD62" s="54"/>
      <c r="AE62" s="54"/>
      <c r="AF62" s="54"/>
      <c r="AG62" s="54"/>
      <c r="AH62" s="54"/>
      <c r="AI62" s="54"/>
      <c r="AJ62" s="54"/>
      <c r="AK62" s="54">
        <f t="shared" si="5"/>
        <v>1</v>
      </c>
      <c r="AL62" s="29">
        <v>0.0</v>
      </c>
      <c r="AM62" s="54" t="s">
        <v>132</v>
      </c>
      <c r="AN62" s="56">
        <v>1795639.0</v>
      </c>
      <c r="AO62" s="36">
        <f t="shared" si="6"/>
        <v>1795639</v>
      </c>
      <c r="AP62" s="37" t="str">
        <f t="shared" si="7"/>
        <v>&gt;1 tahun</v>
      </c>
      <c r="AQ62" s="33"/>
      <c r="AR62" s="33"/>
      <c r="AS62" s="33"/>
      <c r="AT62" s="33"/>
      <c r="AU62" s="33"/>
      <c r="AV62" s="34">
        <v>1.0</v>
      </c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</row>
    <row r="63" ht="18.75" customHeight="1">
      <c r="A63" s="40"/>
      <c r="B63" s="24" t="s">
        <v>136</v>
      </c>
      <c r="C63" s="24" t="s">
        <v>130</v>
      </c>
      <c r="D63" s="53" t="s">
        <v>140</v>
      </c>
      <c r="E63" s="54"/>
      <c r="F63" s="54">
        <f>10</f>
        <v>10</v>
      </c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5">
        <v>10.0</v>
      </c>
      <c r="AC63" s="54"/>
      <c r="AD63" s="54"/>
      <c r="AE63" s="54"/>
      <c r="AF63" s="54"/>
      <c r="AG63" s="54"/>
      <c r="AH63" s="54"/>
      <c r="AI63" s="54"/>
      <c r="AJ63" s="54"/>
      <c r="AK63" s="54">
        <f t="shared" si="5"/>
        <v>10</v>
      </c>
      <c r="AL63" s="29">
        <v>0.0</v>
      </c>
      <c r="AM63" s="54" t="s">
        <v>132</v>
      </c>
      <c r="AN63" s="56">
        <v>1995054.0</v>
      </c>
      <c r="AO63" s="36">
        <f t="shared" si="6"/>
        <v>19950540</v>
      </c>
      <c r="AP63" s="37" t="str">
        <f t="shared" si="7"/>
        <v>&gt;1 tahun</v>
      </c>
      <c r="AQ63" s="33"/>
      <c r="AR63" s="33"/>
      <c r="AS63" s="33"/>
      <c r="AT63" s="33"/>
      <c r="AU63" s="33"/>
      <c r="AV63" s="34">
        <v>10.0</v>
      </c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</row>
    <row r="64" ht="18.75" customHeight="1">
      <c r="A64" s="40"/>
      <c r="B64" s="24" t="s">
        <v>136</v>
      </c>
      <c r="C64" s="24" t="s">
        <v>130</v>
      </c>
      <c r="D64" s="53" t="s">
        <v>141</v>
      </c>
      <c r="E64" s="54"/>
      <c r="F64" s="54">
        <f>14</f>
        <v>14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5">
        <v>6.0</v>
      </c>
      <c r="Y64" s="54"/>
      <c r="Z64" s="54"/>
      <c r="AA64" s="54"/>
      <c r="AB64" s="55">
        <v>8.0</v>
      </c>
      <c r="AC64" s="54"/>
      <c r="AD64" s="54"/>
      <c r="AE64" s="54"/>
      <c r="AF64" s="54"/>
      <c r="AG64" s="54"/>
      <c r="AH64" s="54"/>
      <c r="AI64" s="54"/>
      <c r="AJ64" s="54"/>
      <c r="AK64" s="54">
        <f t="shared" si="5"/>
        <v>14</v>
      </c>
      <c r="AL64" s="29">
        <v>0.0</v>
      </c>
      <c r="AM64" s="54" t="s">
        <v>132</v>
      </c>
      <c r="AN64" s="56">
        <v>3709072.0</v>
      </c>
      <c r="AO64" s="36">
        <f t="shared" si="6"/>
        <v>51927008</v>
      </c>
      <c r="AP64" s="37" t="str">
        <f t="shared" si="7"/>
        <v>&gt;1 tahun</v>
      </c>
      <c r="AQ64" s="33"/>
      <c r="AR64" s="33"/>
      <c r="AS64" s="33"/>
      <c r="AT64" s="33"/>
      <c r="AU64" s="33"/>
      <c r="AV64" s="34">
        <v>14.0</v>
      </c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</row>
    <row r="65" ht="18.75" customHeight="1">
      <c r="A65" s="40"/>
      <c r="B65" s="24" t="s">
        <v>136</v>
      </c>
      <c r="C65" s="24" t="s">
        <v>130</v>
      </c>
      <c r="D65" s="53" t="s">
        <v>142</v>
      </c>
      <c r="E65" s="54"/>
      <c r="F65" s="54">
        <f>8</f>
        <v>8</v>
      </c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5">
        <v>8.0</v>
      </c>
      <c r="AI65" s="54"/>
      <c r="AJ65" s="54"/>
      <c r="AK65" s="54">
        <f t="shared" si="5"/>
        <v>8</v>
      </c>
      <c r="AL65" s="29">
        <v>0.0</v>
      </c>
      <c r="AM65" s="54" t="s">
        <v>132</v>
      </c>
      <c r="AN65" s="56">
        <v>4975594.0</v>
      </c>
      <c r="AO65" s="36">
        <f t="shared" si="6"/>
        <v>39804752</v>
      </c>
      <c r="AP65" s="37" t="str">
        <f t="shared" si="7"/>
        <v>&gt;1 tahun</v>
      </c>
      <c r="AQ65" s="33"/>
      <c r="AR65" s="33"/>
      <c r="AS65" s="33"/>
      <c r="AT65" s="33"/>
      <c r="AU65" s="33"/>
      <c r="AV65" s="34">
        <v>8.0</v>
      </c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</row>
    <row r="66" ht="18.75" customHeight="1">
      <c r="A66" s="40"/>
      <c r="B66" s="24" t="s">
        <v>136</v>
      </c>
      <c r="C66" s="24" t="s">
        <v>130</v>
      </c>
      <c r="D66" s="53" t="s">
        <v>143</v>
      </c>
      <c r="E66" s="54"/>
      <c r="F66" s="54">
        <f>6</f>
        <v>6</v>
      </c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5">
        <v>2.0</v>
      </c>
      <c r="AE66" s="54"/>
      <c r="AF66" s="54"/>
      <c r="AG66" s="54"/>
      <c r="AH66" s="55">
        <v>4.0</v>
      </c>
      <c r="AI66" s="54"/>
      <c r="AJ66" s="54"/>
      <c r="AK66" s="54">
        <f t="shared" si="5"/>
        <v>6</v>
      </c>
      <c r="AL66" s="29">
        <v>0.0</v>
      </c>
      <c r="AM66" s="54" t="s">
        <v>132</v>
      </c>
      <c r="AN66" s="56">
        <v>5397768.0</v>
      </c>
      <c r="AO66" s="36">
        <f t="shared" si="6"/>
        <v>32386608</v>
      </c>
      <c r="AP66" s="37" t="str">
        <f t="shared" si="7"/>
        <v>&gt;1 tahun</v>
      </c>
      <c r="AQ66" s="33"/>
      <c r="AR66" s="33"/>
      <c r="AS66" s="33"/>
      <c r="AT66" s="33"/>
      <c r="AU66" s="33"/>
      <c r="AV66" s="34">
        <v>6.0</v>
      </c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</row>
    <row r="67" ht="18.75" customHeight="1">
      <c r="A67" s="40"/>
      <c r="B67" s="24" t="s">
        <v>129</v>
      </c>
      <c r="C67" s="24" t="s">
        <v>130</v>
      </c>
      <c r="D67" s="53" t="s">
        <v>131</v>
      </c>
      <c r="E67" s="54"/>
      <c r="F67" s="54">
        <f t="shared" ref="F67:F68" si="8">350+69+181</f>
        <v>600</v>
      </c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5">
        <v>26.0</v>
      </c>
      <c r="R67" s="55">
        <v>82.0</v>
      </c>
      <c r="S67" s="55">
        <v>24.0</v>
      </c>
      <c r="T67" s="54"/>
      <c r="U67" s="54"/>
      <c r="V67" s="54"/>
      <c r="W67" s="54"/>
      <c r="X67" s="55">
        <v>100.0</v>
      </c>
      <c r="Y67" s="55">
        <v>100.0</v>
      </c>
      <c r="Z67" s="55">
        <v>100.0</v>
      </c>
      <c r="AA67" s="55">
        <v>168.0</v>
      </c>
      <c r="AB67" s="54"/>
      <c r="AC67" s="54"/>
      <c r="AD67" s="54"/>
      <c r="AE67" s="54"/>
      <c r="AF67" s="54"/>
      <c r="AG67" s="54"/>
      <c r="AH67" s="54"/>
      <c r="AI67" s="54"/>
      <c r="AJ67" s="54"/>
      <c r="AK67" s="54">
        <f t="shared" si="5"/>
        <v>600</v>
      </c>
      <c r="AL67" s="29">
        <v>0.0</v>
      </c>
      <c r="AM67" s="54" t="s">
        <v>132</v>
      </c>
      <c r="AN67" s="56">
        <v>3384400.0</v>
      </c>
      <c r="AO67" s="36">
        <f t="shared" si="6"/>
        <v>2030640000</v>
      </c>
      <c r="AP67" s="37" t="str">
        <f t="shared" si="7"/>
        <v>&gt;1 tahun</v>
      </c>
      <c r="AQ67" s="33"/>
      <c r="AR67" s="33"/>
      <c r="AS67" s="33"/>
      <c r="AT67" s="33"/>
      <c r="AU67" s="33"/>
      <c r="AV67" s="34">
        <v>600.0</v>
      </c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</row>
    <row r="68" ht="18.75" customHeight="1">
      <c r="A68" s="40"/>
      <c r="B68" s="24" t="s">
        <v>129</v>
      </c>
      <c r="C68" s="24" t="s">
        <v>130</v>
      </c>
      <c r="D68" s="53" t="s">
        <v>133</v>
      </c>
      <c r="E68" s="54"/>
      <c r="F68" s="54">
        <f t="shared" si="8"/>
        <v>600</v>
      </c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5">
        <v>26.0</v>
      </c>
      <c r="R68" s="55">
        <v>64.0</v>
      </c>
      <c r="S68" s="54"/>
      <c r="T68" s="54"/>
      <c r="U68" s="54"/>
      <c r="V68" s="54"/>
      <c r="W68" s="54"/>
      <c r="X68" s="54"/>
      <c r="Y68" s="54"/>
      <c r="Z68" s="55">
        <v>200.0</v>
      </c>
      <c r="AA68" s="55">
        <v>250.0</v>
      </c>
      <c r="AB68" s="55">
        <v>60.0</v>
      </c>
      <c r="AC68" s="54"/>
      <c r="AD68" s="54"/>
      <c r="AE68" s="54"/>
      <c r="AF68" s="54"/>
      <c r="AG68" s="54"/>
      <c r="AH68" s="54"/>
      <c r="AI68" s="54"/>
      <c r="AJ68" s="54"/>
      <c r="AK68" s="54">
        <f t="shared" si="5"/>
        <v>600</v>
      </c>
      <c r="AL68" s="29">
        <v>0.0</v>
      </c>
      <c r="AM68" s="54" t="s">
        <v>132</v>
      </c>
      <c r="AN68" s="56">
        <v>3624864.0</v>
      </c>
      <c r="AO68" s="36">
        <f t="shared" si="6"/>
        <v>2174918400</v>
      </c>
      <c r="AP68" s="37" t="str">
        <f t="shared" si="7"/>
        <v>&gt;1 tahun</v>
      </c>
      <c r="AQ68" s="33"/>
      <c r="AR68" s="33"/>
      <c r="AS68" s="33"/>
      <c r="AT68" s="33"/>
      <c r="AU68" s="33"/>
      <c r="AV68" s="34">
        <v>600.0</v>
      </c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</row>
    <row r="69" ht="18.75" customHeight="1">
      <c r="A69" s="40"/>
      <c r="B69" s="24" t="s">
        <v>129</v>
      </c>
      <c r="C69" s="24" t="s">
        <v>130</v>
      </c>
      <c r="D69" s="53" t="s">
        <v>135</v>
      </c>
      <c r="E69" s="54"/>
      <c r="F69" s="54">
        <f>348+196</f>
        <v>544</v>
      </c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5">
        <v>144.0</v>
      </c>
      <c r="AA69" s="55">
        <v>100.0</v>
      </c>
      <c r="AB69" s="55">
        <v>100.0</v>
      </c>
      <c r="AC69" s="55">
        <v>200.0</v>
      </c>
      <c r="AD69" s="54"/>
      <c r="AE69" s="54"/>
      <c r="AF69" s="54"/>
      <c r="AG69" s="54"/>
      <c r="AH69" s="54"/>
      <c r="AI69" s="54"/>
      <c r="AJ69" s="54"/>
      <c r="AK69" s="54">
        <f t="shared" si="5"/>
        <v>544</v>
      </c>
      <c r="AL69" s="29">
        <v>0.0</v>
      </c>
      <c r="AM69" s="54" t="s">
        <v>132</v>
      </c>
      <c r="AN69" s="58">
        <v>7388535.0</v>
      </c>
      <c r="AO69" s="36">
        <f t="shared" si="6"/>
        <v>4019363040</v>
      </c>
      <c r="AP69" s="37" t="str">
        <f t="shared" si="7"/>
        <v>&gt;1 tahun</v>
      </c>
      <c r="AQ69" s="33"/>
      <c r="AR69" s="33"/>
      <c r="AS69" s="33"/>
      <c r="AT69" s="33"/>
      <c r="AU69" s="33"/>
      <c r="AV69" s="34">
        <v>544.0</v>
      </c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</row>
    <row r="70" ht="18.75" customHeight="1">
      <c r="A70" s="40"/>
      <c r="B70" s="24" t="s">
        <v>144</v>
      </c>
      <c r="C70" s="24" t="s">
        <v>145</v>
      </c>
      <c r="D70" s="52" t="s">
        <v>146</v>
      </c>
      <c r="E70" s="49"/>
      <c r="F70" s="49">
        <f>1</f>
        <v>1</v>
      </c>
      <c r="G70" s="49"/>
      <c r="H70" s="49"/>
      <c r="I70" s="49"/>
      <c r="J70" s="49"/>
      <c r="K70" s="50">
        <v>1.0</v>
      </c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>
        <f t="shared" si="5"/>
        <v>1</v>
      </c>
      <c r="AL70" s="29">
        <v>0.0</v>
      </c>
      <c r="AM70" s="49" t="s">
        <v>37</v>
      </c>
      <c r="AN70" s="51">
        <v>2894015.0</v>
      </c>
      <c r="AO70" s="36">
        <f t="shared" si="6"/>
        <v>2894015</v>
      </c>
      <c r="AP70" s="37" t="str">
        <f t="shared" si="7"/>
        <v>&gt;1 tahun</v>
      </c>
      <c r="AQ70" s="33"/>
      <c r="AR70" s="33"/>
      <c r="AS70" s="33"/>
      <c r="AT70" s="33"/>
      <c r="AU70" s="33"/>
      <c r="AV70" s="34">
        <v>1.0</v>
      </c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</row>
    <row r="71" ht="18.75" customHeight="1">
      <c r="A71" s="40"/>
      <c r="B71" s="24"/>
      <c r="C71" s="24"/>
      <c r="D71" s="52" t="s">
        <v>147</v>
      </c>
      <c r="E71" s="49"/>
      <c r="F71" s="49">
        <f t="shared" ref="F71:F72" si="9">F70</f>
        <v>1</v>
      </c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50">
        <v>1.0</v>
      </c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>
        <f t="shared" si="5"/>
        <v>1</v>
      </c>
      <c r="AL71" s="29">
        <v>0.0</v>
      </c>
      <c r="AM71" s="49" t="s">
        <v>37</v>
      </c>
      <c r="AN71" s="51">
        <v>3641712.0</v>
      </c>
      <c r="AO71" s="36">
        <f t="shared" si="6"/>
        <v>3641712</v>
      </c>
      <c r="AP71" s="37" t="str">
        <f t="shared" si="7"/>
        <v>&gt;1 tahun</v>
      </c>
      <c r="AQ71" s="33"/>
      <c r="AR71" s="33"/>
      <c r="AS71" s="33"/>
      <c r="AT71" s="33"/>
      <c r="AU71" s="33"/>
      <c r="AV71" s="34">
        <v>1.0</v>
      </c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</row>
    <row r="72" ht="18.75" customHeight="1">
      <c r="A72" s="40"/>
      <c r="B72" s="24" t="s">
        <v>148</v>
      </c>
      <c r="C72" s="24" t="s">
        <v>148</v>
      </c>
      <c r="D72" s="52" t="s">
        <v>149</v>
      </c>
      <c r="E72" s="49"/>
      <c r="F72" s="49">
        <f t="shared" si="9"/>
        <v>1</v>
      </c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50">
        <v>1.0</v>
      </c>
      <c r="AC72" s="49"/>
      <c r="AD72" s="49"/>
      <c r="AE72" s="49"/>
      <c r="AF72" s="49"/>
      <c r="AG72" s="49"/>
      <c r="AH72" s="49"/>
      <c r="AI72" s="49"/>
      <c r="AJ72" s="49"/>
      <c r="AK72" s="49">
        <f t="shared" si="5"/>
        <v>1</v>
      </c>
      <c r="AL72" s="29">
        <v>0.0</v>
      </c>
      <c r="AM72" s="49" t="s">
        <v>37</v>
      </c>
      <c r="AN72" s="51">
        <v>1957989.0</v>
      </c>
      <c r="AO72" s="36">
        <f t="shared" si="6"/>
        <v>1957989</v>
      </c>
      <c r="AP72" s="37" t="str">
        <f t="shared" si="7"/>
        <v>&gt;1 tahun</v>
      </c>
      <c r="AQ72" s="33"/>
      <c r="AR72" s="33"/>
      <c r="AS72" s="33"/>
      <c r="AT72" s="33"/>
      <c r="AU72" s="33"/>
      <c r="AV72" s="34">
        <v>1.0</v>
      </c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</row>
    <row r="73" ht="18.75" customHeight="1">
      <c r="A73" s="40"/>
      <c r="B73" s="24" t="s">
        <v>150</v>
      </c>
      <c r="C73" s="24" t="s">
        <v>151</v>
      </c>
      <c r="D73" s="52" t="s">
        <v>152</v>
      </c>
      <c r="E73" s="49"/>
      <c r="F73" s="49">
        <f>3</f>
        <v>3</v>
      </c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50">
        <v>3.0</v>
      </c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>
        <f t="shared" si="5"/>
        <v>3</v>
      </c>
      <c r="AL73" s="29">
        <v>0.0</v>
      </c>
      <c r="AM73" s="49" t="s">
        <v>37</v>
      </c>
      <c r="AN73" s="51">
        <v>3169611.0</v>
      </c>
      <c r="AO73" s="36">
        <f t="shared" si="6"/>
        <v>9508833</v>
      </c>
      <c r="AP73" s="37" t="str">
        <f t="shared" si="7"/>
        <v>&gt;1 tahun</v>
      </c>
      <c r="AQ73" s="33"/>
      <c r="AR73" s="33"/>
      <c r="AS73" s="33"/>
      <c r="AT73" s="33"/>
      <c r="AU73" s="33"/>
      <c r="AV73" s="34">
        <v>3.0</v>
      </c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</row>
    <row r="74" ht="18.75" customHeight="1">
      <c r="A74" s="40"/>
      <c r="B74" s="24" t="s">
        <v>153</v>
      </c>
      <c r="C74" s="24" t="s">
        <v>154</v>
      </c>
      <c r="D74" s="52" t="s">
        <v>155</v>
      </c>
      <c r="E74" s="49"/>
      <c r="F74" s="49">
        <f>50</f>
        <v>50</v>
      </c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50">
        <v>20.0</v>
      </c>
      <c r="R74" s="50">
        <v>20.0</v>
      </c>
      <c r="S74" s="50"/>
      <c r="T74" s="49"/>
      <c r="U74" s="49"/>
      <c r="V74" s="49"/>
      <c r="W74" s="49"/>
      <c r="X74" s="49"/>
      <c r="Y74" s="49"/>
      <c r="Z74" s="49"/>
      <c r="AA74" s="49"/>
      <c r="AB74" s="50">
        <v>10.0</v>
      </c>
      <c r="AC74" s="49"/>
      <c r="AD74" s="49"/>
      <c r="AE74" s="49"/>
      <c r="AF74" s="49"/>
      <c r="AG74" s="49"/>
      <c r="AH74" s="49"/>
      <c r="AI74" s="49"/>
      <c r="AJ74" s="49"/>
      <c r="AK74" s="49">
        <f t="shared" si="5"/>
        <v>50</v>
      </c>
      <c r="AL74" s="29">
        <v>0.0</v>
      </c>
      <c r="AM74" s="49" t="s">
        <v>37</v>
      </c>
      <c r="AN74" s="51">
        <v>1757050.0</v>
      </c>
      <c r="AO74" s="36">
        <f t="shared" si="6"/>
        <v>87852500</v>
      </c>
      <c r="AP74" s="37" t="str">
        <f t="shared" si="7"/>
        <v>&gt;1 tahun</v>
      </c>
      <c r="AQ74" s="33"/>
      <c r="AR74" s="33"/>
      <c r="AS74" s="33"/>
      <c r="AT74" s="33"/>
      <c r="AU74" s="33"/>
      <c r="AV74" s="34">
        <v>50.0</v>
      </c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</row>
    <row r="75" ht="18.75" customHeight="1">
      <c r="A75" s="40"/>
      <c r="B75" s="24" t="s">
        <v>156</v>
      </c>
      <c r="C75" s="24" t="s">
        <v>157</v>
      </c>
      <c r="D75" s="52" t="s">
        <v>158</v>
      </c>
      <c r="E75" s="49"/>
      <c r="F75" s="50">
        <v>46.0</v>
      </c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50">
        <v>15.0</v>
      </c>
      <c r="T75" s="49"/>
      <c r="U75" s="49"/>
      <c r="V75" s="49"/>
      <c r="W75" s="49"/>
      <c r="X75" s="50">
        <v>4.0</v>
      </c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50">
        <v>27.0</v>
      </c>
      <c r="AK75" s="49">
        <f t="shared" si="5"/>
        <v>46</v>
      </c>
      <c r="AL75" s="29">
        <v>0.0</v>
      </c>
      <c r="AM75" s="49" t="s">
        <v>37</v>
      </c>
      <c r="AN75" s="51">
        <v>3948386.0</v>
      </c>
      <c r="AO75" s="36">
        <f t="shared" si="6"/>
        <v>181625756</v>
      </c>
      <c r="AP75" s="37" t="str">
        <f t="shared" si="7"/>
        <v>&gt;1 tahun</v>
      </c>
      <c r="AQ75" s="33"/>
      <c r="AR75" s="33"/>
      <c r="AS75" s="33"/>
      <c r="AT75" s="33"/>
      <c r="AU75" s="33"/>
      <c r="AV75" s="34">
        <v>46.0</v>
      </c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</row>
    <row r="76" ht="18.75" customHeight="1">
      <c r="A76" s="40"/>
      <c r="B76" s="24" t="s">
        <v>159</v>
      </c>
      <c r="C76" s="24" t="s">
        <v>160</v>
      </c>
      <c r="D76" s="52" t="s">
        <v>161</v>
      </c>
      <c r="E76" s="49"/>
      <c r="F76" s="50">
        <v>8.0</v>
      </c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50">
        <v>8.0</v>
      </c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>
        <f t="shared" si="5"/>
        <v>8</v>
      </c>
      <c r="AL76" s="29">
        <v>0.0</v>
      </c>
      <c r="AM76" s="49" t="s">
        <v>37</v>
      </c>
      <c r="AN76" s="51">
        <v>4696107.0</v>
      </c>
      <c r="AO76" s="36">
        <f t="shared" si="6"/>
        <v>37568856</v>
      </c>
      <c r="AP76" s="37" t="str">
        <f t="shared" si="7"/>
        <v>&gt;1 tahun</v>
      </c>
      <c r="AQ76" s="33"/>
      <c r="AR76" s="33"/>
      <c r="AS76" s="33"/>
      <c r="AT76" s="33"/>
      <c r="AU76" s="33"/>
      <c r="AV76" s="34">
        <v>8.0</v>
      </c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</row>
    <row r="77" ht="18.75" customHeight="1">
      <c r="A77" s="40"/>
      <c r="B77" s="24" t="s">
        <v>162</v>
      </c>
      <c r="C77" s="24" t="s">
        <v>163</v>
      </c>
      <c r="D77" s="52" t="s">
        <v>164</v>
      </c>
      <c r="E77" s="49"/>
      <c r="F77" s="49">
        <f>100</f>
        <v>100</v>
      </c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50">
        <v>50.0</v>
      </c>
      <c r="R77" s="50">
        <v>50.0</v>
      </c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>
        <f t="shared" si="5"/>
        <v>100</v>
      </c>
      <c r="AL77" s="29">
        <v>0.0</v>
      </c>
      <c r="AM77" s="49" t="s">
        <v>37</v>
      </c>
      <c r="AN77" s="51">
        <v>2143256.0</v>
      </c>
      <c r="AO77" s="36">
        <f t="shared" si="6"/>
        <v>214325600</v>
      </c>
      <c r="AP77" s="37" t="str">
        <f t="shared" si="7"/>
        <v>&gt;1 tahun</v>
      </c>
      <c r="AQ77" s="33"/>
      <c r="AR77" s="33"/>
      <c r="AS77" s="33"/>
      <c r="AT77" s="33"/>
      <c r="AU77" s="33"/>
      <c r="AV77" s="34">
        <v>100.0</v>
      </c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</row>
    <row r="78" ht="18.75" customHeight="1">
      <c r="A78" s="40"/>
      <c r="B78" s="24" t="s">
        <v>165</v>
      </c>
      <c r="C78" s="24" t="s">
        <v>166</v>
      </c>
      <c r="D78" s="53" t="s">
        <v>167</v>
      </c>
      <c r="E78" s="54"/>
      <c r="F78" s="54">
        <f>53</f>
        <v>53</v>
      </c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5">
        <v>53.0</v>
      </c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>
        <f t="shared" si="5"/>
        <v>53</v>
      </c>
      <c r="AL78" s="29">
        <v>0.0</v>
      </c>
      <c r="AM78" s="54" t="s">
        <v>132</v>
      </c>
      <c r="AN78" s="56">
        <v>1591466.0</v>
      </c>
      <c r="AO78" s="36">
        <f t="shared" si="6"/>
        <v>84347698</v>
      </c>
      <c r="AP78" s="37" t="str">
        <f t="shared" si="7"/>
        <v>&gt;1 tahun</v>
      </c>
      <c r="AQ78" s="33"/>
      <c r="AR78" s="33"/>
      <c r="AS78" s="33"/>
      <c r="AT78" s="33"/>
      <c r="AU78" s="33"/>
      <c r="AV78" s="34">
        <v>53.0</v>
      </c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</row>
    <row r="79" ht="18.75" customHeight="1">
      <c r="A79" s="40"/>
      <c r="B79" s="24" t="s">
        <v>156</v>
      </c>
      <c r="C79" s="24" t="s">
        <v>168</v>
      </c>
      <c r="D79" s="52" t="s">
        <v>169</v>
      </c>
      <c r="E79" s="49"/>
      <c r="F79" s="49">
        <f>2</f>
        <v>2</v>
      </c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50">
        <v>2.0</v>
      </c>
      <c r="AD79" s="49"/>
      <c r="AE79" s="49"/>
      <c r="AF79" s="49"/>
      <c r="AG79" s="49"/>
      <c r="AH79" s="49"/>
      <c r="AI79" s="49"/>
      <c r="AJ79" s="49"/>
      <c r="AK79" s="49">
        <f t="shared" si="5"/>
        <v>2</v>
      </c>
      <c r="AL79" s="29">
        <v>0.0</v>
      </c>
      <c r="AM79" s="49" t="s">
        <v>37</v>
      </c>
      <c r="AN79" s="51">
        <v>2752825.0</v>
      </c>
      <c r="AO79" s="36">
        <f t="shared" si="6"/>
        <v>5505650</v>
      </c>
      <c r="AP79" s="37" t="str">
        <f t="shared" si="7"/>
        <v>&gt;1 tahun</v>
      </c>
      <c r="AQ79" s="33"/>
      <c r="AR79" s="33"/>
      <c r="AS79" s="33"/>
      <c r="AT79" s="33"/>
      <c r="AU79" s="33"/>
      <c r="AV79" s="34">
        <v>2.0</v>
      </c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</row>
    <row r="80" ht="18.75" customHeight="1">
      <c r="A80" s="40"/>
      <c r="B80" s="24" t="s">
        <v>49</v>
      </c>
      <c r="C80" s="24" t="s">
        <v>50</v>
      </c>
      <c r="D80" s="52" t="s">
        <v>51</v>
      </c>
      <c r="E80" s="49"/>
      <c r="F80" s="49">
        <f t="shared" ref="F80:F81" si="10">130</f>
        <v>130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50">
        <v>100.0</v>
      </c>
      <c r="T80" s="50">
        <v>30.0</v>
      </c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>
        <f t="shared" si="5"/>
        <v>130</v>
      </c>
      <c r="AL80" s="29">
        <v>0.0</v>
      </c>
      <c r="AM80" s="49" t="s">
        <v>37</v>
      </c>
      <c r="AN80" s="51">
        <v>2716883.0</v>
      </c>
      <c r="AO80" s="36">
        <f t="shared" si="6"/>
        <v>353194790</v>
      </c>
      <c r="AP80" s="37" t="str">
        <f t="shared" si="7"/>
        <v>60-90 hari; 90-180 hari; 180-365 hari</v>
      </c>
      <c r="AQ80" s="33"/>
      <c r="AR80" s="33"/>
      <c r="AS80" s="34">
        <v>50.0</v>
      </c>
      <c r="AT80" s="34">
        <v>30.0</v>
      </c>
      <c r="AU80" s="34">
        <v>50.0</v>
      </c>
      <c r="AV80" s="33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</row>
    <row r="81" ht="18.75" customHeight="1">
      <c r="A81" s="40"/>
      <c r="B81" s="24"/>
      <c r="C81" s="24"/>
      <c r="D81" s="52" t="s">
        <v>52</v>
      </c>
      <c r="E81" s="49"/>
      <c r="F81" s="49">
        <f t="shared" si="10"/>
        <v>130</v>
      </c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50">
        <v>130.0</v>
      </c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>
        <f t="shared" si="5"/>
        <v>130</v>
      </c>
      <c r="AL81" s="29">
        <v>0.0</v>
      </c>
      <c r="AM81" s="49" t="s">
        <v>37</v>
      </c>
      <c r="AN81" s="51">
        <v>2351273.0</v>
      </c>
      <c r="AO81" s="36">
        <f t="shared" si="6"/>
        <v>305665490</v>
      </c>
      <c r="AP81" s="37" t="str">
        <f t="shared" si="7"/>
        <v>60-90 hari; 90-180 hari; 180-365 hari</v>
      </c>
      <c r="AQ81" s="33"/>
      <c r="AR81" s="33"/>
      <c r="AS81" s="34">
        <v>50.0</v>
      </c>
      <c r="AT81" s="34">
        <v>30.0</v>
      </c>
      <c r="AU81" s="34">
        <v>50.0</v>
      </c>
      <c r="AV81" s="33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</row>
    <row r="82" ht="18.75" customHeight="1">
      <c r="A82" s="40"/>
      <c r="B82" s="24" t="s">
        <v>67</v>
      </c>
      <c r="C82" s="24" t="s">
        <v>68</v>
      </c>
      <c r="D82" s="52" t="s">
        <v>71</v>
      </c>
      <c r="E82" s="49"/>
      <c r="F82" s="49">
        <f>3</f>
        <v>3</v>
      </c>
      <c r="G82" s="49"/>
      <c r="H82" s="49"/>
      <c r="I82" s="49"/>
      <c r="J82" s="49"/>
      <c r="K82" s="50">
        <v>1.0</v>
      </c>
      <c r="L82" s="50">
        <v>2.0</v>
      </c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>
        <f t="shared" si="5"/>
        <v>3</v>
      </c>
      <c r="AL82" s="29">
        <v>0.0</v>
      </c>
      <c r="AM82" s="49" t="s">
        <v>37</v>
      </c>
      <c r="AN82" s="51">
        <v>3793632.0</v>
      </c>
      <c r="AO82" s="36">
        <f t="shared" si="6"/>
        <v>11380896</v>
      </c>
      <c r="AP82" s="37" t="str">
        <f t="shared" si="7"/>
        <v>&lt;30 hari</v>
      </c>
      <c r="AQ82" s="34">
        <v>3.0</v>
      </c>
      <c r="AR82" s="33"/>
      <c r="AS82" s="33"/>
      <c r="AT82" s="33"/>
      <c r="AU82" s="33"/>
      <c r="AV82" s="33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</row>
    <row r="83" ht="18.75" customHeight="1">
      <c r="A83" s="40"/>
      <c r="B83" s="24"/>
      <c r="C83" s="24"/>
      <c r="D83" s="52" t="s">
        <v>72</v>
      </c>
      <c r="E83" s="49"/>
      <c r="F83" s="49">
        <f>14</f>
        <v>14</v>
      </c>
      <c r="G83" s="49"/>
      <c r="H83" s="49"/>
      <c r="I83" s="49"/>
      <c r="J83" s="49"/>
      <c r="K83" s="50">
        <v>4.0</v>
      </c>
      <c r="L83" s="50">
        <v>10.0</v>
      </c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>
        <f t="shared" si="5"/>
        <v>14</v>
      </c>
      <c r="AL83" s="29">
        <v>0.0</v>
      </c>
      <c r="AM83" s="49" t="s">
        <v>37</v>
      </c>
      <c r="AN83" s="51">
        <v>4285466.0</v>
      </c>
      <c r="AO83" s="36">
        <f t="shared" si="6"/>
        <v>59996524</v>
      </c>
      <c r="AP83" s="37" t="str">
        <f t="shared" si="7"/>
        <v>&lt;30 hari</v>
      </c>
      <c r="AQ83" s="34">
        <v>14.0</v>
      </c>
      <c r="AR83" s="33"/>
      <c r="AS83" s="33"/>
      <c r="AT83" s="33"/>
      <c r="AU83" s="33"/>
      <c r="AV83" s="33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</row>
    <row r="84" ht="18.75" customHeight="1">
      <c r="A84" s="40"/>
      <c r="B84" s="24"/>
      <c r="C84" s="24"/>
      <c r="D84" s="52" t="s">
        <v>75</v>
      </c>
      <c r="E84" s="49"/>
      <c r="F84" s="49">
        <f>9</f>
        <v>9</v>
      </c>
      <c r="G84" s="49"/>
      <c r="H84" s="49"/>
      <c r="I84" s="49"/>
      <c r="J84" s="49"/>
      <c r="K84" s="50"/>
      <c r="L84" s="50">
        <v>9.0</v>
      </c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>
        <f t="shared" si="5"/>
        <v>9</v>
      </c>
      <c r="AL84" s="29">
        <v>0.0</v>
      </c>
      <c r="AM84" s="49" t="s">
        <v>37</v>
      </c>
      <c r="AN84" s="51">
        <v>7278912.0</v>
      </c>
      <c r="AO84" s="36">
        <f t="shared" si="6"/>
        <v>65510208</v>
      </c>
      <c r="AP84" s="37" t="str">
        <f t="shared" si="7"/>
        <v>&lt;30 hari</v>
      </c>
      <c r="AQ84" s="34">
        <v>9.0</v>
      </c>
      <c r="AR84" s="33"/>
      <c r="AS84" s="33"/>
      <c r="AT84" s="33"/>
      <c r="AU84" s="33"/>
      <c r="AV84" s="33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</row>
    <row r="85" ht="18.75" customHeight="1">
      <c r="A85" s="40"/>
      <c r="B85" s="24" t="s">
        <v>53</v>
      </c>
      <c r="C85" s="24" t="s">
        <v>54</v>
      </c>
      <c r="D85" s="52" t="s">
        <v>57</v>
      </c>
      <c r="E85" s="49"/>
      <c r="F85" s="49">
        <f>92</f>
        <v>92</v>
      </c>
      <c r="G85" s="49"/>
      <c r="H85" s="49"/>
      <c r="I85" s="49"/>
      <c r="J85" s="49"/>
      <c r="K85" s="50">
        <v>42.0</v>
      </c>
      <c r="L85" s="50">
        <v>50.0</v>
      </c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>
        <f t="shared" si="5"/>
        <v>92</v>
      </c>
      <c r="AL85" s="29">
        <v>0.0</v>
      </c>
      <c r="AM85" s="49" t="s">
        <v>37</v>
      </c>
      <c r="AN85" s="51">
        <v>6588371.0</v>
      </c>
      <c r="AO85" s="36">
        <f t="shared" si="6"/>
        <v>606130132</v>
      </c>
      <c r="AP85" s="37" t="str">
        <f t="shared" si="7"/>
        <v>&lt;30 hari</v>
      </c>
      <c r="AQ85" s="34">
        <v>92.0</v>
      </c>
      <c r="AR85" s="33"/>
      <c r="AS85" s="33"/>
      <c r="AT85" s="33"/>
      <c r="AU85" s="33"/>
      <c r="AV85" s="33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</row>
    <row r="86" ht="18.75" customHeight="1">
      <c r="A86" s="40"/>
      <c r="B86" s="24"/>
      <c r="C86" s="24"/>
      <c r="D86" s="52" t="s">
        <v>58</v>
      </c>
      <c r="E86" s="49"/>
      <c r="F86" s="49">
        <f>114</f>
        <v>114</v>
      </c>
      <c r="G86" s="49"/>
      <c r="H86" s="49"/>
      <c r="I86" s="49"/>
      <c r="J86" s="49"/>
      <c r="K86" s="50">
        <v>64.0</v>
      </c>
      <c r="L86" s="50">
        <v>50.0</v>
      </c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>
        <f t="shared" si="5"/>
        <v>114</v>
      </c>
      <c r="AL86" s="29">
        <v>0.0</v>
      </c>
      <c r="AM86" s="49" t="s">
        <v>37</v>
      </c>
      <c r="AN86" s="51">
        <v>5135358.0</v>
      </c>
      <c r="AO86" s="36">
        <f t="shared" si="6"/>
        <v>585430812</v>
      </c>
      <c r="AP86" s="37" t="str">
        <f t="shared" si="7"/>
        <v>&lt;30 hari</v>
      </c>
      <c r="AQ86" s="34">
        <v>114.0</v>
      </c>
      <c r="AR86" s="33"/>
      <c r="AS86" s="33"/>
      <c r="AT86" s="33"/>
      <c r="AU86" s="33"/>
      <c r="AV86" s="33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</row>
    <row r="87" ht="18.75" customHeight="1">
      <c r="A87" s="40"/>
      <c r="B87" s="24"/>
      <c r="C87" s="24"/>
      <c r="D87" s="52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27"/>
      <c r="AL87" s="29">
        <v>0.0</v>
      </c>
      <c r="AM87" s="59"/>
      <c r="AN87" s="51"/>
      <c r="AO87" s="36"/>
      <c r="AP87" s="37"/>
      <c r="AQ87" s="33"/>
      <c r="AR87" s="33"/>
      <c r="AS87" s="33"/>
      <c r="AT87" s="33"/>
      <c r="AU87" s="33"/>
      <c r="AV87" s="33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</row>
    <row r="88" ht="18.75" customHeight="1">
      <c r="A88" s="40"/>
      <c r="B88" s="24" t="s">
        <v>170</v>
      </c>
      <c r="C88" s="24" t="s">
        <v>171</v>
      </c>
      <c r="D88" s="24" t="s">
        <v>172</v>
      </c>
      <c r="E88" s="26">
        <v>80.0</v>
      </c>
      <c r="F88" s="27"/>
      <c r="G88" s="27"/>
      <c r="H88" s="27"/>
      <c r="I88" s="27"/>
      <c r="J88" s="27"/>
      <c r="K88" s="27"/>
      <c r="L88" s="27"/>
      <c r="M88" s="27"/>
      <c r="N88" s="27"/>
      <c r="O88" s="26"/>
      <c r="P88" s="27"/>
      <c r="Q88" s="27"/>
      <c r="R88" s="26">
        <v>80.0</v>
      </c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>
        <f t="shared" ref="AK88:AK105" si="11">SUM(G88:AJ88)</f>
        <v>80</v>
      </c>
      <c r="AL88" s="29">
        <v>0.0</v>
      </c>
      <c r="AM88" s="27" t="s">
        <v>37</v>
      </c>
      <c r="AN88" s="39">
        <v>832212.0</v>
      </c>
      <c r="AO88" s="36">
        <f t="shared" ref="AO88:AO105" si="12">AN88*AK88</f>
        <v>66576960</v>
      </c>
      <c r="AP88" s="37" t="str">
        <f t="shared" ref="AP88:AP105" si="13">TEXTJOIN("; ",TRUE,IF(AQ88&gt;0,"&lt;30 hari",""),IF(AR88&gt;0,"30-60 hari",""),IF(AS88&gt;0,"60-90 hari",""),IF(AT88&gt;0,"90-180 hari",""),IF(AU88&gt;0,"180-365 hari",""),IF(AV88&gt;0,"&gt;1 tahun",""))</f>
        <v>30-60 hari</v>
      </c>
      <c r="AQ88" s="33"/>
      <c r="AR88" s="34">
        <v>80.0</v>
      </c>
      <c r="AS88" s="33"/>
      <c r="AT88" s="33"/>
      <c r="AU88" s="33"/>
      <c r="AV88" s="33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</row>
    <row r="89" ht="18.75" customHeight="1">
      <c r="A89" s="40"/>
      <c r="B89" s="24" t="s">
        <v>173</v>
      </c>
      <c r="C89" s="24" t="s">
        <v>174</v>
      </c>
      <c r="D89" s="24" t="s">
        <v>175</v>
      </c>
      <c r="E89" s="26">
        <v>153.0</v>
      </c>
      <c r="F89" s="27"/>
      <c r="G89" s="27"/>
      <c r="H89" s="27"/>
      <c r="I89" s="27"/>
      <c r="J89" s="27"/>
      <c r="K89" s="27"/>
      <c r="L89" s="27"/>
      <c r="M89" s="26"/>
      <c r="N89" s="26">
        <v>15.0</v>
      </c>
      <c r="O89" s="26">
        <v>38.0</v>
      </c>
      <c r="P89" s="26">
        <v>100.0</v>
      </c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>
        <f t="shared" si="11"/>
        <v>153</v>
      </c>
      <c r="AL89" s="29">
        <v>0.0</v>
      </c>
      <c r="AM89" s="27" t="s">
        <v>37</v>
      </c>
      <c r="AN89" s="39">
        <v>3949125.0</v>
      </c>
      <c r="AO89" s="36">
        <f t="shared" si="12"/>
        <v>604216125</v>
      </c>
      <c r="AP89" s="37" t="str">
        <f t="shared" si="13"/>
        <v>30-60 hari; 60-90 hari</v>
      </c>
      <c r="AQ89" s="33"/>
      <c r="AR89" s="34">
        <v>100.0</v>
      </c>
      <c r="AS89" s="34">
        <v>53.0</v>
      </c>
      <c r="AT89" s="33"/>
      <c r="AU89" s="33"/>
      <c r="AV89" s="33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</row>
    <row r="90" ht="18.75" customHeight="1">
      <c r="A90" s="23"/>
      <c r="B90" s="24" t="s">
        <v>173</v>
      </c>
      <c r="C90" s="24" t="s">
        <v>174</v>
      </c>
      <c r="D90" s="24" t="s">
        <v>176</v>
      </c>
      <c r="E90" s="26">
        <v>175.0</v>
      </c>
      <c r="F90" s="27"/>
      <c r="G90" s="27"/>
      <c r="H90" s="27"/>
      <c r="I90" s="27"/>
      <c r="J90" s="27"/>
      <c r="K90" s="27"/>
      <c r="L90" s="27"/>
      <c r="M90" s="27"/>
      <c r="N90" s="26">
        <v>14.0</v>
      </c>
      <c r="O90" s="26">
        <v>100.0</v>
      </c>
      <c r="P90" s="26">
        <v>61.0</v>
      </c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>
        <f t="shared" si="11"/>
        <v>175</v>
      </c>
      <c r="AL90" s="29">
        <v>0.0</v>
      </c>
      <c r="AM90" s="27" t="s">
        <v>37</v>
      </c>
      <c r="AN90" s="39">
        <v>4247835.0</v>
      </c>
      <c r="AO90" s="36">
        <f t="shared" si="12"/>
        <v>743371125</v>
      </c>
      <c r="AP90" s="37" t="str">
        <f t="shared" si="13"/>
        <v>30-60 hari; 60-90 hari</v>
      </c>
      <c r="AQ90" s="33"/>
      <c r="AR90" s="34">
        <v>100.0</v>
      </c>
      <c r="AS90" s="34">
        <v>75.0</v>
      </c>
      <c r="AT90" s="33"/>
      <c r="AU90" s="33"/>
      <c r="AV90" s="33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</row>
    <row r="91" ht="18.75" customHeight="1">
      <c r="A91" s="40"/>
      <c r="B91" s="24" t="s">
        <v>177</v>
      </c>
      <c r="C91" s="24" t="s">
        <v>178</v>
      </c>
      <c r="D91" s="24" t="s">
        <v>179</v>
      </c>
      <c r="E91" s="26">
        <v>85.0</v>
      </c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6">
        <v>5.0</v>
      </c>
      <c r="R91" s="26">
        <v>10.0</v>
      </c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>
        <f t="shared" si="11"/>
        <v>15</v>
      </c>
      <c r="AL91" s="29">
        <v>0.0</v>
      </c>
      <c r="AM91" s="27" t="s">
        <v>37</v>
      </c>
      <c r="AN91" s="39">
        <v>2328587.0</v>
      </c>
      <c r="AO91" s="36">
        <f t="shared" si="12"/>
        <v>34928805</v>
      </c>
      <c r="AP91" s="37" t="str">
        <f t="shared" si="13"/>
        <v>&lt;30 hari; 30-60 hari</v>
      </c>
      <c r="AQ91" s="34">
        <v>50.0</v>
      </c>
      <c r="AR91" s="34">
        <v>35.0</v>
      </c>
      <c r="AS91" s="33"/>
      <c r="AT91" s="33"/>
      <c r="AU91" s="33"/>
      <c r="AV91" s="33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</row>
    <row r="92" ht="18.75" customHeight="1">
      <c r="A92" s="23"/>
      <c r="B92" s="24" t="s">
        <v>177</v>
      </c>
      <c r="C92" s="24" t="s">
        <v>178</v>
      </c>
      <c r="D92" s="24" t="s">
        <v>180</v>
      </c>
      <c r="E92" s="26">
        <v>85.0</v>
      </c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6">
        <v>5.0</v>
      </c>
      <c r="R92" s="26">
        <v>10.0</v>
      </c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>
        <f t="shared" si="11"/>
        <v>15</v>
      </c>
      <c r="AL92" s="29">
        <v>0.0</v>
      </c>
      <c r="AM92" s="27" t="s">
        <v>37</v>
      </c>
      <c r="AN92" s="39">
        <v>2792943.0</v>
      </c>
      <c r="AO92" s="36">
        <f t="shared" si="12"/>
        <v>41894145</v>
      </c>
      <c r="AP92" s="37" t="str">
        <f t="shared" si="13"/>
        <v>&lt;30 hari; 30-60 hari</v>
      </c>
      <c r="AQ92" s="34">
        <v>50.0</v>
      </c>
      <c r="AR92" s="34">
        <v>35.0</v>
      </c>
      <c r="AS92" s="33"/>
      <c r="AT92" s="33"/>
      <c r="AU92" s="33"/>
      <c r="AV92" s="33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</row>
    <row r="93" ht="18.75" customHeight="1">
      <c r="A93" s="23"/>
      <c r="B93" s="24" t="s">
        <v>177</v>
      </c>
      <c r="C93" s="24" t="s">
        <v>178</v>
      </c>
      <c r="D93" s="24" t="s">
        <v>181</v>
      </c>
      <c r="E93" s="26">
        <v>85.0</v>
      </c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6">
        <v>10.0</v>
      </c>
      <c r="R93" s="26">
        <v>5.0</v>
      </c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>
        <f t="shared" si="11"/>
        <v>15</v>
      </c>
      <c r="AL93" s="29">
        <v>0.0</v>
      </c>
      <c r="AM93" s="27" t="s">
        <v>37</v>
      </c>
      <c r="AN93" s="39">
        <v>2574193.0</v>
      </c>
      <c r="AO93" s="36">
        <f t="shared" si="12"/>
        <v>38612895</v>
      </c>
      <c r="AP93" s="37" t="str">
        <f t="shared" si="13"/>
        <v>&lt;30 hari; 30-60 hari</v>
      </c>
      <c r="AQ93" s="34">
        <v>50.0</v>
      </c>
      <c r="AR93" s="34">
        <v>35.0</v>
      </c>
      <c r="AS93" s="33"/>
      <c r="AT93" s="33"/>
      <c r="AU93" s="33"/>
      <c r="AV93" s="33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</row>
    <row r="94" ht="18.75" customHeight="1">
      <c r="A94" s="40"/>
      <c r="B94" s="24" t="s">
        <v>182</v>
      </c>
      <c r="C94" s="24" t="s">
        <v>183</v>
      </c>
      <c r="D94" s="24" t="s">
        <v>184</v>
      </c>
      <c r="E94" s="26">
        <v>237.0</v>
      </c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6">
        <v>100.0</v>
      </c>
      <c r="R94" s="26">
        <v>137.0</v>
      </c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>
        <f t="shared" si="11"/>
        <v>237</v>
      </c>
      <c r="AL94" s="29">
        <v>0.0</v>
      </c>
      <c r="AM94" s="27" t="s">
        <v>37</v>
      </c>
      <c r="AN94" s="39">
        <v>1066754.0</v>
      </c>
      <c r="AO94" s="36">
        <f t="shared" si="12"/>
        <v>252820698</v>
      </c>
      <c r="AP94" s="37" t="str">
        <f t="shared" si="13"/>
        <v>&lt;30 hari; 30-60 hari</v>
      </c>
      <c r="AQ94" s="34">
        <v>137.0</v>
      </c>
      <c r="AR94" s="34">
        <v>100.0</v>
      </c>
      <c r="AS94" s="33"/>
      <c r="AT94" s="33"/>
      <c r="AU94" s="33"/>
      <c r="AV94" s="33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</row>
    <row r="95" ht="18.75" customHeight="1">
      <c r="A95" s="40"/>
      <c r="B95" s="24" t="s">
        <v>185</v>
      </c>
      <c r="C95" s="24" t="s">
        <v>186</v>
      </c>
      <c r="D95" s="24" t="s">
        <v>187</v>
      </c>
      <c r="E95" s="26">
        <v>8.0</v>
      </c>
      <c r="F95" s="27"/>
      <c r="G95" s="27"/>
      <c r="H95" s="27"/>
      <c r="I95" s="27"/>
      <c r="J95" s="27"/>
      <c r="K95" s="27"/>
      <c r="L95" s="27"/>
      <c r="M95" s="27"/>
      <c r="N95" s="27"/>
      <c r="O95" s="26">
        <v>8.0</v>
      </c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>
        <f t="shared" si="11"/>
        <v>8</v>
      </c>
      <c r="AL95" s="29">
        <v>0.0</v>
      </c>
      <c r="AM95" s="27" t="s">
        <v>37</v>
      </c>
      <c r="AN95" s="39">
        <v>832212.0</v>
      </c>
      <c r="AO95" s="36">
        <f t="shared" si="12"/>
        <v>6657696</v>
      </c>
      <c r="AP95" s="37" t="str">
        <f t="shared" si="13"/>
        <v>&lt;30 hari</v>
      </c>
      <c r="AQ95" s="34">
        <v>8.0</v>
      </c>
      <c r="AR95" s="33"/>
      <c r="AS95" s="33"/>
      <c r="AT95" s="33"/>
      <c r="AU95" s="33"/>
      <c r="AV95" s="33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</row>
    <row r="96" ht="18.75" customHeight="1">
      <c r="A96" s="40"/>
      <c r="B96" s="24" t="s">
        <v>188</v>
      </c>
      <c r="C96" s="24" t="s">
        <v>189</v>
      </c>
      <c r="D96" s="24" t="s">
        <v>190</v>
      </c>
      <c r="E96" s="26">
        <v>206.0</v>
      </c>
      <c r="F96" s="27"/>
      <c r="G96" s="27"/>
      <c r="H96" s="27"/>
      <c r="I96" s="27"/>
      <c r="J96" s="27"/>
      <c r="K96" s="27"/>
      <c r="L96" s="27"/>
      <c r="M96" s="27"/>
      <c r="N96" s="27"/>
      <c r="O96" s="26">
        <v>100.0</v>
      </c>
      <c r="P96" s="26">
        <v>106.0</v>
      </c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>
        <f t="shared" si="11"/>
        <v>206</v>
      </c>
      <c r="AL96" s="29">
        <v>0.0</v>
      </c>
      <c r="AM96" s="27" t="s">
        <v>37</v>
      </c>
      <c r="AN96" s="39">
        <v>1443930.0</v>
      </c>
      <c r="AO96" s="36">
        <f t="shared" si="12"/>
        <v>297449580</v>
      </c>
      <c r="AP96" s="37" t="str">
        <f t="shared" si="13"/>
        <v>&lt;30 hari</v>
      </c>
      <c r="AQ96" s="34">
        <v>206.0</v>
      </c>
      <c r="AR96" s="33"/>
      <c r="AS96" s="33"/>
      <c r="AT96" s="33"/>
      <c r="AU96" s="33"/>
      <c r="AV96" s="33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</row>
    <row r="97" ht="18.75" customHeight="1">
      <c r="A97" s="23"/>
      <c r="B97" s="24" t="s">
        <v>188</v>
      </c>
      <c r="C97" s="24" t="s">
        <v>189</v>
      </c>
      <c r="D97" s="24" t="s">
        <v>191</v>
      </c>
      <c r="E97" s="26">
        <v>168.0</v>
      </c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6">
        <v>100.0</v>
      </c>
      <c r="R97" s="26">
        <v>68.0</v>
      </c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>
        <f t="shared" si="11"/>
        <v>168</v>
      </c>
      <c r="AL97" s="29">
        <v>0.0</v>
      </c>
      <c r="AM97" s="27" t="s">
        <v>37</v>
      </c>
      <c r="AN97" s="39">
        <v>1460612.0</v>
      </c>
      <c r="AO97" s="36">
        <f t="shared" si="12"/>
        <v>245382816</v>
      </c>
      <c r="AP97" s="37" t="str">
        <f t="shared" si="13"/>
        <v>&lt;30 hari</v>
      </c>
      <c r="AQ97" s="34">
        <v>168.0</v>
      </c>
      <c r="AR97" s="33"/>
      <c r="AS97" s="33"/>
      <c r="AT97" s="33"/>
      <c r="AU97" s="33"/>
      <c r="AV97" s="33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</row>
    <row r="98" ht="18.75" customHeight="1">
      <c r="A98" s="23"/>
      <c r="B98" s="24" t="s">
        <v>192</v>
      </c>
      <c r="C98" s="24" t="s">
        <v>193</v>
      </c>
      <c r="D98" s="52" t="s">
        <v>194</v>
      </c>
      <c r="E98" s="49"/>
      <c r="F98" s="50">
        <v>71.0</v>
      </c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50">
        <v>50.0</v>
      </c>
      <c r="AJ98" s="50">
        <v>21.0</v>
      </c>
      <c r="AK98" s="49">
        <f t="shared" si="11"/>
        <v>71</v>
      </c>
      <c r="AL98" s="29">
        <v>0.0</v>
      </c>
      <c r="AM98" s="49" t="s">
        <v>37</v>
      </c>
      <c r="AN98" s="51">
        <v>4832534.0</v>
      </c>
      <c r="AO98" s="36">
        <f t="shared" si="12"/>
        <v>343109914</v>
      </c>
      <c r="AP98" s="37" t="str">
        <f t="shared" si="13"/>
        <v>&gt;1 tahun</v>
      </c>
      <c r="AQ98" s="33"/>
      <c r="AR98" s="33"/>
      <c r="AS98" s="33"/>
      <c r="AT98" s="33"/>
      <c r="AU98" s="33"/>
      <c r="AV98" s="34">
        <v>71.0</v>
      </c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</row>
    <row r="99" ht="18.75" customHeight="1">
      <c r="A99" s="23"/>
      <c r="B99" s="24" t="s">
        <v>195</v>
      </c>
      <c r="C99" s="24" t="s">
        <v>196</v>
      </c>
      <c r="D99" s="52" t="s">
        <v>197</v>
      </c>
      <c r="E99" s="49"/>
      <c r="F99" s="50">
        <v>2.0</v>
      </c>
      <c r="G99" s="49"/>
      <c r="H99" s="49"/>
      <c r="I99" s="49"/>
      <c r="J99" s="49"/>
      <c r="K99" s="49"/>
      <c r="L99" s="49"/>
      <c r="M99" s="49"/>
      <c r="N99" s="50">
        <v>2.0</v>
      </c>
      <c r="O99" s="49"/>
      <c r="P99" s="49"/>
      <c r="Q99" s="49"/>
      <c r="R99" s="50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>
        <f t="shared" si="11"/>
        <v>2</v>
      </c>
      <c r="AL99" s="29">
        <v>0.0</v>
      </c>
      <c r="AM99" s="49" t="s">
        <v>37</v>
      </c>
      <c r="AN99" s="51">
        <v>2170138.0</v>
      </c>
      <c r="AO99" s="36">
        <f t="shared" si="12"/>
        <v>4340276</v>
      </c>
      <c r="AP99" s="37" t="str">
        <f t="shared" si="13"/>
        <v>&gt;1 tahun</v>
      </c>
      <c r="AQ99" s="33"/>
      <c r="AR99" s="33"/>
      <c r="AS99" s="33"/>
      <c r="AT99" s="33"/>
      <c r="AU99" s="33"/>
      <c r="AV99" s="34">
        <v>2.0</v>
      </c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</row>
    <row r="100" ht="18.75" customHeight="1">
      <c r="A100" s="23"/>
      <c r="B100" s="24" t="s">
        <v>53</v>
      </c>
      <c r="C100" s="24" t="s">
        <v>54</v>
      </c>
      <c r="D100" s="52" t="s">
        <v>176</v>
      </c>
      <c r="E100" s="49"/>
      <c r="F100" s="50">
        <v>1.0</v>
      </c>
      <c r="G100" s="49"/>
      <c r="H100" s="49"/>
      <c r="I100" s="49"/>
      <c r="J100" s="49"/>
      <c r="K100" s="49"/>
      <c r="L100" s="49"/>
      <c r="M100" s="49"/>
      <c r="N100" s="50">
        <v>1.0</v>
      </c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>
        <f t="shared" si="11"/>
        <v>1</v>
      </c>
      <c r="AL100" s="29">
        <v>0.0</v>
      </c>
      <c r="AM100" s="49" t="s">
        <v>37</v>
      </c>
      <c r="AN100" s="51">
        <v>4247835.0</v>
      </c>
      <c r="AO100" s="36">
        <f t="shared" si="12"/>
        <v>4247835</v>
      </c>
      <c r="AP100" s="37" t="str">
        <f t="shared" si="13"/>
        <v>60-90 hari</v>
      </c>
      <c r="AQ100" s="33"/>
      <c r="AR100" s="33"/>
      <c r="AS100" s="34">
        <v>1.0</v>
      </c>
      <c r="AT100" s="33"/>
      <c r="AU100" s="33"/>
      <c r="AV100" s="33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</row>
    <row r="101" ht="18.75" customHeight="1">
      <c r="A101" s="23"/>
      <c r="B101" s="24" t="s">
        <v>198</v>
      </c>
      <c r="C101" s="24" t="s">
        <v>199</v>
      </c>
      <c r="D101" s="52" t="s">
        <v>51</v>
      </c>
      <c r="E101" s="49"/>
      <c r="F101" s="50">
        <v>9.0</v>
      </c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50">
        <v>9.0</v>
      </c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>
        <f t="shared" si="11"/>
        <v>9</v>
      </c>
      <c r="AL101" s="29">
        <v>0.0</v>
      </c>
      <c r="AM101" s="49" t="s">
        <v>37</v>
      </c>
      <c r="AN101" s="51">
        <v>2105591.0</v>
      </c>
      <c r="AO101" s="36">
        <f t="shared" si="12"/>
        <v>18950319</v>
      </c>
      <c r="AP101" s="37" t="str">
        <f t="shared" si="13"/>
        <v>60-90 hari</v>
      </c>
      <c r="AQ101" s="33"/>
      <c r="AR101" s="33"/>
      <c r="AS101" s="34">
        <v>9.0</v>
      </c>
      <c r="AT101" s="33"/>
      <c r="AU101" s="33"/>
      <c r="AV101" s="33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</row>
    <row r="102" ht="18.75" customHeight="1">
      <c r="A102" s="23"/>
      <c r="B102" s="24" t="s">
        <v>198</v>
      </c>
      <c r="C102" s="24" t="s">
        <v>199</v>
      </c>
      <c r="D102" s="52" t="s">
        <v>52</v>
      </c>
      <c r="E102" s="49"/>
      <c r="F102" s="50">
        <v>9.0</v>
      </c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50">
        <v>9.0</v>
      </c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>
        <f t="shared" si="11"/>
        <v>9</v>
      </c>
      <c r="AL102" s="29">
        <v>0.0</v>
      </c>
      <c r="AM102" s="49" t="s">
        <v>37</v>
      </c>
      <c r="AN102" s="51">
        <v>2128201.0</v>
      </c>
      <c r="AO102" s="36">
        <f t="shared" si="12"/>
        <v>19153809</v>
      </c>
      <c r="AP102" s="37" t="str">
        <f t="shared" si="13"/>
        <v>60-90 hari</v>
      </c>
      <c r="AQ102" s="33"/>
      <c r="AR102" s="33"/>
      <c r="AS102" s="34">
        <v>9.0</v>
      </c>
      <c r="AT102" s="33"/>
      <c r="AU102" s="33"/>
      <c r="AV102" s="33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</row>
    <row r="103" ht="18.75" customHeight="1">
      <c r="A103" s="23"/>
      <c r="B103" s="24" t="s">
        <v>177</v>
      </c>
      <c r="C103" s="24" t="s">
        <v>178</v>
      </c>
      <c r="D103" s="52" t="s">
        <v>179</v>
      </c>
      <c r="E103" s="49"/>
      <c r="F103" s="50">
        <v>70.0</v>
      </c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50">
        <v>20.0</v>
      </c>
      <c r="R103" s="50">
        <v>50.0</v>
      </c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>
        <f t="shared" si="11"/>
        <v>70</v>
      </c>
      <c r="AL103" s="29">
        <v>0.0</v>
      </c>
      <c r="AM103" s="49" t="s">
        <v>37</v>
      </c>
      <c r="AN103" s="51">
        <v>2328587.0</v>
      </c>
      <c r="AO103" s="36">
        <f t="shared" si="12"/>
        <v>163001090</v>
      </c>
      <c r="AP103" s="37" t="str">
        <f t="shared" si="13"/>
        <v>&lt;30 hari; 30-60 hari</v>
      </c>
      <c r="AQ103" s="34">
        <v>10.0</v>
      </c>
      <c r="AR103" s="34">
        <v>60.0</v>
      </c>
      <c r="AS103" s="33"/>
      <c r="AT103" s="33"/>
      <c r="AU103" s="33"/>
      <c r="AV103" s="33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</row>
    <row r="104" ht="18.75" customHeight="1">
      <c r="A104" s="23"/>
      <c r="B104" s="24" t="s">
        <v>177</v>
      </c>
      <c r="C104" s="24" t="s">
        <v>178</v>
      </c>
      <c r="D104" s="52" t="s">
        <v>180</v>
      </c>
      <c r="E104" s="49"/>
      <c r="F104" s="50">
        <v>70.0</v>
      </c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50">
        <v>20.0</v>
      </c>
      <c r="R104" s="50">
        <v>50.0</v>
      </c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>
        <f t="shared" si="11"/>
        <v>70</v>
      </c>
      <c r="AL104" s="29">
        <v>0.0</v>
      </c>
      <c r="AM104" s="49" t="s">
        <v>37</v>
      </c>
      <c r="AN104" s="51">
        <v>2792943.0</v>
      </c>
      <c r="AO104" s="36">
        <f t="shared" si="12"/>
        <v>195506010</v>
      </c>
      <c r="AP104" s="37" t="str">
        <f t="shared" si="13"/>
        <v>&lt;30 hari; 30-60 hari</v>
      </c>
      <c r="AQ104" s="34">
        <v>10.0</v>
      </c>
      <c r="AR104" s="34">
        <v>60.0</v>
      </c>
      <c r="AS104" s="33"/>
      <c r="AT104" s="33"/>
      <c r="AU104" s="33"/>
      <c r="AV104" s="33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</row>
    <row r="105" ht="18.75" customHeight="1">
      <c r="A105" s="23"/>
      <c r="B105" s="24" t="s">
        <v>177</v>
      </c>
      <c r="C105" s="24" t="s">
        <v>178</v>
      </c>
      <c r="D105" s="52" t="s">
        <v>181</v>
      </c>
      <c r="E105" s="49"/>
      <c r="F105" s="50">
        <v>70.0</v>
      </c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50">
        <v>20.0</v>
      </c>
      <c r="R105" s="50">
        <v>50.0</v>
      </c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>
        <f t="shared" si="11"/>
        <v>70</v>
      </c>
      <c r="AL105" s="29">
        <v>0.0</v>
      </c>
      <c r="AM105" s="49" t="s">
        <v>37</v>
      </c>
      <c r="AN105" s="51">
        <v>2574193.0</v>
      </c>
      <c r="AO105" s="36">
        <f t="shared" si="12"/>
        <v>180193510</v>
      </c>
      <c r="AP105" s="37" t="str">
        <f t="shared" si="13"/>
        <v>&lt;30 hari; 30-60 hari</v>
      </c>
      <c r="AQ105" s="34">
        <v>10.0</v>
      </c>
      <c r="AR105" s="34">
        <v>60.0</v>
      </c>
      <c r="AS105" s="33"/>
      <c r="AT105" s="33"/>
      <c r="AU105" s="33"/>
      <c r="AV105" s="33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</row>
    <row r="106" ht="18.75" customHeight="1">
      <c r="A106" s="23"/>
      <c r="B106" s="24"/>
      <c r="C106" s="24"/>
      <c r="D106" s="52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27"/>
      <c r="AL106" s="29">
        <v>0.0</v>
      </c>
      <c r="AM106" s="49"/>
      <c r="AN106" s="51"/>
      <c r="AO106" s="36"/>
      <c r="AP106" s="37"/>
      <c r="AQ106" s="33"/>
      <c r="AR106" s="33"/>
      <c r="AS106" s="33"/>
      <c r="AT106" s="33"/>
      <c r="AU106" s="33"/>
      <c r="AV106" s="33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</row>
    <row r="107" ht="18.75" customHeight="1">
      <c r="A107" s="23"/>
      <c r="B107" s="24" t="s">
        <v>200</v>
      </c>
      <c r="C107" s="24"/>
      <c r="D107" s="52" t="s">
        <v>201</v>
      </c>
      <c r="E107" s="49"/>
      <c r="F107" s="50">
        <v>4.0</v>
      </c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50">
        <v>4.0</v>
      </c>
      <c r="AK107" s="49">
        <f>SUM(G107:AJ107)</f>
        <v>4</v>
      </c>
      <c r="AL107" s="29">
        <v>0.0</v>
      </c>
      <c r="AM107" s="49" t="s">
        <v>37</v>
      </c>
      <c r="AN107" s="51">
        <v>512672.0</v>
      </c>
      <c r="AO107" s="36">
        <f>AN107*AK107</f>
        <v>2050688</v>
      </c>
      <c r="AP107" s="37" t="str">
        <f>TEXTJOIN("; ",TRUE,IF(AQ107&gt;0,"&lt;30 hari",""),IF(AR107&gt;0,"30-60 hari",""),IF(AS107&gt;0,"60-90 hari",""),IF(AT107&gt;0,"90-180 hari",""),IF(AU107&gt;0,"180-365 hari",""),IF(AV107&gt;0,"&gt;1 tahun",""))</f>
        <v>&gt;1 tahun</v>
      </c>
      <c r="AQ107" s="33"/>
      <c r="AR107" s="33"/>
      <c r="AS107" s="33"/>
      <c r="AT107" s="33"/>
      <c r="AU107" s="33"/>
      <c r="AV107" s="34">
        <v>4.0</v>
      </c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</row>
    <row r="108" ht="18.75" customHeight="1">
      <c r="A108" s="23"/>
      <c r="B108" s="24"/>
      <c r="C108" s="24"/>
      <c r="D108" s="52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27"/>
      <c r="AL108" s="29">
        <v>0.0</v>
      </c>
      <c r="AM108" s="59"/>
      <c r="AN108" s="51"/>
      <c r="AO108" s="36"/>
      <c r="AP108" s="37"/>
      <c r="AQ108" s="33"/>
      <c r="AR108" s="33"/>
      <c r="AS108" s="33"/>
      <c r="AT108" s="33"/>
      <c r="AU108" s="33"/>
      <c r="AV108" s="33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</row>
    <row r="109" ht="18.75" customHeight="1">
      <c r="A109" s="40"/>
      <c r="B109" s="24" t="s">
        <v>202</v>
      </c>
      <c r="C109" s="24" t="s">
        <v>203</v>
      </c>
      <c r="D109" s="24" t="s">
        <v>204</v>
      </c>
      <c r="E109" s="26">
        <v>2.0</v>
      </c>
      <c r="F109" s="27"/>
      <c r="G109" s="27"/>
      <c r="H109" s="27"/>
      <c r="I109" s="27"/>
      <c r="J109" s="27"/>
      <c r="K109" s="27"/>
      <c r="L109" s="27"/>
      <c r="M109" s="27"/>
      <c r="N109" s="26">
        <v>1.0</v>
      </c>
      <c r="O109" s="26">
        <v>1.0</v>
      </c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>
        <f t="shared" ref="AK109:AK176" si="14">SUM(G109:AJ109)</f>
        <v>2</v>
      </c>
      <c r="AL109" s="29">
        <v>0.0</v>
      </c>
      <c r="AM109" s="27" t="s">
        <v>37</v>
      </c>
      <c r="AN109" s="39">
        <v>4.9227021E7</v>
      </c>
      <c r="AO109" s="36">
        <f t="shared" ref="AO109:AO176" si="15">AN109*AK109</f>
        <v>98454042</v>
      </c>
      <c r="AP109" s="37" t="str">
        <f t="shared" ref="AP109:AP176" si="16">TEXTJOIN("; ",TRUE,IF(AQ109&gt;0,"&lt;30 hari",""),IF(AR109&gt;0,"30-60 hari",""),IF(AS109&gt;0,"60-90 hari",""),IF(AT109&gt;0,"90-180 hari",""),IF(AU109&gt;0,"180-365 hari",""),IF(AV109&gt;0,"&gt;1 tahun",""))</f>
        <v>30-60 hari; 60-90 hari</v>
      </c>
      <c r="AQ109" s="33"/>
      <c r="AR109" s="34">
        <v>1.0</v>
      </c>
      <c r="AS109" s="34">
        <v>1.0</v>
      </c>
      <c r="AT109" s="33"/>
      <c r="AU109" s="33"/>
      <c r="AV109" s="33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</row>
    <row r="110" ht="18.75" customHeight="1">
      <c r="A110" s="23"/>
      <c r="B110" s="24" t="s">
        <v>202</v>
      </c>
      <c r="C110" s="24" t="s">
        <v>203</v>
      </c>
      <c r="D110" s="24" t="s">
        <v>205</v>
      </c>
      <c r="E110" s="26">
        <v>23.0</v>
      </c>
      <c r="F110" s="27"/>
      <c r="G110" s="27"/>
      <c r="H110" s="26">
        <v>23.0</v>
      </c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>
        <f t="shared" si="14"/>
        <v>23</v>
      </c>
      <c r="AL110" s="29">
        <v>0.0</v>
      </c>
      <c r="AM110" s="27" t="s">
        <v>37</v>
      </c>
      <c r="AN110" s="39">
        <v>247504.0</v>
      </c>
      <c r="AO110" s="36">
        <f t="shared" si="15"/>
        <v>5692592</v>
      </c>
      <c r="AP110" s="37" t="str">
        <f t="shared" si="16"/>
        <v>60-90 hari</v>
      </c>
      <c r="AQ110" s="33"/>
      <c r="AR110" s="33"/>
      <c r="AS110" s="34">
        <v>23.0</v>
      </c>
      <c r="AT110" s="33"/>
      <c r="AU110" s="33"/>
      <c r="AV110" s="33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</row>
    <row r="111" ht="18.75" customHeight="1">
      <c r="A111" s="23"/>
      <c r="B111" s="24" t="s">
        <v>202</v>
      </c>
      <c r="C111" s="24" t="s">
        <v>203</v>
      </c>
      <c r="D111" s="24" t="s">
        <v>206</v>
      </c>
      <c r="E111" s="26">
        <v>1.0</v>
      </c>
      <c r="F111" s="27"/>
      <c r="G111" s="27"/>
      <c r="H111" s="27"/>
      <c r="I111" s="27"/>
      <c r="J111" s="27"/>
      <c r="K111" s="27"/>
      <c r="L111" s="27"/>
      <c r="M111" s="27"/>
      <c r="N111" s="27"/>
      <c r="O111" s="26">
        <v>1.0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>
        <f t="shared" si="14"/>
        <v>1</v>
      </c>
      <c r="AL111" s="29">
        <v>0.0</v>
      </c>
      <c r="AM111" s="27" t="s">
        <v>37</v>
      </c>
      <c r="AN111" s="39">
        <v>1.7909109E7</v>
      </c>
      <c r="AO111" s="36">
        <f t="shared" si="15"/>
        <v>17909109</v>
      </c>
      <c r="AP111" s="37" t="str">
        <f t="shared" si="16"/>
        <v>&lt;30 hari</v>
      </c>
      <c r="AQ111" s="34">
        <v>1.0</v>
      </c>
      <c r="AR111" s="33"/>
      <c r="AS111" s="33"/>
      <c r="AT111" s="33"/>
      <c r="AU111" s="33"/>
      <c r="AV111" s="33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</row>
    <row r="112" ht="18.75" customHeight="1">
      <c r="A112" s="23"/>
      <c r="B112" s="24" t="s">
        <v>202</v>
      </c>
      <c r="C112" s="24" t="s">
        <v>203</v>
      </c>
      <c r="D112" s="24" t="s">
        <v>207</v>
      </c>
      <c r="E112" s="26">
        <v>3.0</v>
      </c>
      <c r="F112" s="27"/>
      <c r="G112" s="27"/>
      <c r="H112" s="27"/>
      <c r="I112" s="27"/>
      <c r="J112" s="27"/>
      <c r="K112" s="27"/>
      <c r="L112" s="27"/>
      <c r="M112" s="27"/>
      <c r="N112" s="27"/>
      <c r="O112" s="26">
        <v>1.0</v>
      </c>
      <c r="P112" s="26">
        <v>2.0</v>
      </c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>
        <f t="shared" si="14"/>
        <v>3</v>
      </c>
      <c r="AL112" s="29">
        <v>0.0</v>
      </c>
      <c r="AM112" s="27" t="s">
        <v>37</v>
      </c>
      <c r="AN112" s="39">
        <v>1.6878534E7</v>
      </c>
      <c r="AO112" s="36">
        <f t="shared" si="15"/>
        <v>50635602</v>
      </c>
      <c r="AP112" s="37" t="str">
        <f t="shared" si="16"/>
        <v>&lt;30 hari; 30-60 hari</v>
      </c>
      <c r="AQ112" s="34">
        <v>2.0</v>
      </c>
      <c r="AR112" s="34">
        <v>1.0</v>
      </c>
      <c r="AS112" s="33"/>
      <c r="AT112" s="33"/>
      <c r="AU112" s="33"/>
      <c r="AV112" s="33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</row>
    <row r="113" ht="18.75" customHeight="1">
      <c r="A113" s="23"/>
      <c r="B113" s="24" t="s">
        <v>202</v>
      </c>
      <c r="C113" s="24" t="s">
        <v>203</v>
      </c>
      <c r="D113" s="24" t="s">
        <v>208</v>
      </c>
      <c r="E113" s="26">
        <v>1.0</v>
      </c>
      <c r="F113" s="27"/>
      <c r="G113" s="27"/>
      <c r="H113" s="27"/>
      <c r="I113" s="27"/>
      <c r="J113" s="27"/>
      <c r="K113" s="27"/>
      <c r="L113" s="27"/>
      <c r="M113" s="27"/>
      <c r="N113" s="27"/>
      <c r="O113" s="26">
        <v>1.0</v>
      </c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>
        <f t="shared" si="14"/>
        <v>1</v>
      </c>
      <c r="AL113" s="29">
        <v>0.0</v>
      </c>
      <c r="AM113" s="27" t="s">
        <v>37</v>
      </c>
      <c r="AN113" s="39">
        <v>1.3407798E7</v>
      </c>
      <c r="AO113" s="36">
        <f t="shared" si="15"/>
        <v>13407798</v>
      </c>
      <c r="AP113" s="37" t="str">
        <f t="shared" si="16"/>
        <v>&lt;30 hari</v>
      </c>
      <c r="AQ113" s="34">
        <v>1.0</v>
      </c>
      <c r="AR113" s="33"/>
      <c r="AS113" s="33"/>
      <c r="AT113" s="33"/>
      <c r="AU113" s="33"/>
      <c r="AV113" s="33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</row>
    <row r="114" ht="18.75" customHeight="1">
      <c r="A114" s="23"/>
      <c r="B114" s="24" t="s">
        <v>202</v>
      </c>
      <c r="C114" s="24" t="s">
        <v>203</v>
      </c>
      <c r="D114" s="24" t="s">
        <v>209</v>
      </c>
      <c r="E114" s="26">
        <v>1.0</v>
      </c>
      <c r="F114" s="27"/>
      <c r="G114" s="27"/>
      <c r="H114" s="27"/>
      <c r="I114" s="27"/>
      <c r="J114" s="27"/>
      <c r="K114" s="27"/>
      <c r="L114" s="27"/>
      <c r="M114" s="27"/>
      <c r="N114" s="27"/>
      <c r="O114" s="26">
        <v>1.0</v>
      </c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>
        <f t="shared" si="14"/>
        <v>1</v>
      </c>
      <c r="AL114" s="29">
        <v>0.0</v>
      </c>
      <c r="AM114" s="27" t="s">
        <v>37</v>
      </c>
      <c r="AN114" s="39">
        <v>1.7909109E7</v>
      </c>
      <c r="AO114" s="36">
        <f t="shared" si="15"/>
        <v>17909109</v>
      </c>
      <c r="AP114" s="37" t="str">
        <f t="shared" si="16"/>
        <v>&lt;30 hari</v>
      </c>
      <c r="AQ114" s="34">
        <v>1.0</v>
      </c>
      <c r="AR114" s="33"/>
      <c r="AS114" s="33"/>
      <c r="AT114" s="33"/>
      <c r="AU114" s="33"/>
      <c r="AV114" s="33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</row>
    <row r="115" ht="18.75" customHeight="1">
      <c r="A115" s="23"/>
      <c r="B115" s="24" t="s">
        <v>202</v>
      </c>
      <c r="C115" s="24" t="s">
        <v>203</v>
      </c>
      <c r="D115" s="24" t="s">
        <v>210</v>
      </c>
      <c r="E115" s="26">
        <v>4.0</v>
      </c>
      <c r="F115" s="27"/>
      <c r="G115" s="27"/>
      <c r="H115" s="27"/>
      <c r="I115" s="27"/>
      <c r="J115" s="27"/>
      <c r="K115" s="27"/>
      <c r="L115" s="27"/>
      <c r="M115" s="27"/>
      <c r="N115" s="27"/>
      <c r="O115" s="26">
        <v>2.0</v>
      </c>
      <c r="P115" s="26">
        <v>2.0</v>
      </c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>
        <f t="shared" si="14"/>
        <v>4</v>
      </c>
      <c r="AL115" s="29">
        <v>0.0</v>
      </c>
      <c r="AM115" s="27" t="s">
        <v>37</v>
      </c>
      <c r="AN115" s="39">
        <v>1.8408138E7</v>
      </c>
      <c r="AO115" s="36">
        <f t="shared" si="15"/>
        <v>73632552</v>
      </c>
      <c r="AP115" s="37" t="str">
        <f t="shared" si="16"/>
        <v>&lt;30 hari; 30-60 hari</v>
      </c>
      <c r="AQ115" s="34">
        <v>2.0</v>
      </c>
      <c r="AR115" s="34">
        <v>2.0</v>
      </c>
      <c r="AS115" s="33"/>
      <c r="AT115" s="33"/>
      <c r="AU115" s="33"/>
      <c r="AV115" s="33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</row>
    <row r="116" ht="18.75" customHeight="1">
      <c r="A116" s="23"/>
      <c r="B116" s="24" t="s">
        <v>202</v>
      </c>
      <c r="C116" s="24" t="s">
        <v>203</v>
      </c>
      <c r="D116" s="24" t="s">
        <v>211</v>
      </c>
      <c r="E116" s="26">
        <v>12.0</v>
      </c>
      <c r="F116" s="27"/>
      <c r="G116" s="27"/>
      <c r="H116" s="27"/>
      <c r="I116" s="27"/>
      <c r="J116" s="27"/>
      <c r="K116" s="27"/>
      <c r="L116" s="27"/>
      <c r="M116" s="27"/>
      <c r="N116" s="27"/>
      <c r="O116" s="26">
        <v>6.0</v>
      </c>
      <c r="P116" s="26">
        <v>6.0</v>
      </c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>
        <f t="shared" si="14"/>
        <v>12</v>
      </c>
      <c r="AL116" s="29">
        <v>0.0</v>
      </c>
      <c r="AM116" s="27" t="s">
        <v>37</v>
      </c>
      <c r="AN116" s="39">
        <v>1.7492403E7</v>
      </c>
      <c r="AO116" s="36">
        <f t="shared" si="15"/>
        <v>209908836</v>
      </c>
      <c r="AP116" s="37" t="str">
        <f t="shared" si="16"/>
        <v>&lt;30 hari; 30-60 hari</v>
      </c>
      <c r="AQ116" s="34">
        <v>6.0</v>
      </c>
      <c r="AR116" s="34">
        <v>6.0</v>
      </c>
      <c r="AS116" s="33"/>
      <c r="AT116" s="33"/>
      <c r="AU116" s="33"/>
      <c r="AV116" s="33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</row>
    <row r="117" ht="18.75" customHeight="1">
      <c r="A117" s="23"/>
      <c r="B117" s="24" t="s">
        <v>202</v>
      </c>
      <c r="C117" s="24" t="s">
        <v>203</v>
      </c>
      <c r="D117" s="24" t="s">
        <v>212</v>
      </c>
      <c r="E117" s="26">
        <v>4.0</v>
      </c>
      <c r="F117" s="27"/>
      <c r="G117" s="27"/>
      <c r="H117" s="27"/>
      <c r="I117" s="27"/>
      <c r="J117" s="27"/>
      <c r="K117" s="27"/>
      <c r="L117" s="27"/>
      <c r="M117" s="27"/>
      <c r="N117" s="27"/>
      <c r="O117" s="26">
        <v>2.0</v>
      </c>
      <c r="P117" s="26">
        <v>2.0</v>
      </c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>
        <f t="shared" si="14"/>
        <v>4</v>
      </c>
      <c r="AL117" s="29">
        <v>0.0</v>
      </c>
      <c r="AM117" s="27" t="s">
        <v>37</v>
      </c>
      <c r="AN117" s="39">
        <v>1.3687498E7</v>
      </c>
      <c r="AO117" s="36">
        <f t="shared" si="15"/>
        <v>54749992</v>
      </c>
      <c r="AP117" s="37" t="str">
        <f t="shared" si="16"/>
        <v>&lt;30 hari; 30-60 hari</v>
      </c>
      <c r="AQ117" s="34">
        <v>3.0</v>
      </c>
      <c r="AR117" s="34">
        <v>1.0</v>
      </c>
      <c r="AS117" s="33"/>
      <c r="AT117" s="33"/>
      <c r="AU117" s="33"/>
      <c r="AV117" s="33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</row>
    <row r="118" ht="18.75" customHeight="1">
      <c r="A118" s="23"/>
      <c r="B118" s="24" t="s">
        <v>202</v>
      </c>
      <c r="C118" s="24" t="s">
        <v>203</v>
      </c>
      <c r="D118" s="24" t="s">
        <v>213</v>
      </c>
      <c r="E118" s="26">
        <v>4.0</v>
      </c>
      <c r="F118" s="27"/>
      <c r="G118" s="27"/>
      <c r="H118" s="27"/>
      <c r="I118" s="27"/>
      <c r="J118" s="27"/>
      <c r="K118" s="27"/>
      <c r="L118" s="27"/>
      <c r="M118" s="27"/>
      <c r="N118" s="27"/>
      <c r="O118" s="26">
        <v>2.0</v>
      </c>
      <c r="P118" s="26">
        <v>2.0</v>
      </c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>
        <f t="shared" si="14"/>
        <v>4</v>
      </c>
      <c r="AL118" s="29">
        <v>0.0</v>
      </c>
      <c r="AM118" s="27" t="s">
        <v>37</v>
      </c>
      <c r="AN118" s="39">
        <v>1.8408138E7</v>
      </c>
      <c r="AO118" s="36">
        <f t="shared" si="15"/>
        <v>73632552</v>
      </c>
      <c r="AP118" s="37" t="str">
        <f t="shared" si="16"/>
        <v>&lt;30 hari; 30-60 hari</v>
      </c>
      <c r="AQ118" s="34">
        <v>2.0</v>
      </c>
      <c r="AR118" s="34">
        <v>2.0</v>
      </c>
      <c r="AS118" s="33"/>
      <c r="AT118" s="33"/>
      <c r="AU118" s="33"/>
      <c r="AV118" s="33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</row>
    <row r="119" ht="18.75" customHeight="1">
      <c r="A119" s="23"/>
      <c r="B119" s="24" t="s">
        <v>202</v>
      </c>
      <c r="C119" s="24" t="s">
        <v>203</v>
      </c>
      <c r="D119" s="24" t="s">
        <v>214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>
        <f t="shared" si="14"/>
        <v>0</v>
      </c>
      <c r="AL119" s="29">
        <v>0.0</v>
      </c>
      <c r="AM119" s="27" t="s">
        <v>37</v>
      </c>
      <c r="AN119" s="39">
        <v>1.4449216E7</v>
      </c>
      <c r="AO119" s="36">
        <f t="shared" si="15"/>
        <v>0</v>
      </c>
      <c r="AP119" s="37" t="str">
        <f t="shared" si="16"/>
        <v/>
      </c>
      <c r="AQ119" s="33"/>
      <c r="AR119" s="33"/>
      <c r="AS119" s="33"/>
      <c r="AT119" s="33"/>
      <c r="AU119" s="33"/>
      <c r="AV119" s="33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</row>
    <row r="120" ht="18.75" hidden="1" customHeight="1">
      <c r="A120" s="23"/>
      <c r="B120" s="24" t="s">
        <v>202</v>
      </c>
      <c r="C120" s="24" t="s">
        <v>203</v>
      </c>
      <c r="D120" s="24" t="s">
        <v>215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>
        <f t="shared" si="14"/>
        <v>0</v>
      </c>
      <c r="AL120" s="29">
        <v>0.0</v>
      </c>
      <c r="AM120" s="27" t="s">
        <v>37</v>
      </c>
      <c r="AN120" s="39">
        <v>1.4865103E7</v>
      </c>
      <c r="AO120" s="36">
        <f t="shared" si="15"/>
        <v>0</v>
      </c>
      <c r="AP120" s="37" t="str">
        <f t="shared" si="16"/>
        <v/>
      </c>
      <c r="AQ120" s="33"/>
      <c r="AR120" s="33"/>
      <c r="AS120" s="33"/>
      <c r="AT120" s="33"/>
      <c r="AU120" s="33"/>
      <c r="AV120" s="33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</row>
    <row r="121" ht="18.75" hidden="1" customHeight="1">
      <c r="A121" s="23"/>
      <c r="B121" s="24" t="s">
        <v>202</v>
      </c>
      <c r="C121" s="24" t="s">
        <v>203</v>
      </c>
      <c r="D121" s="24" t="s">
        <v>216</v>
      </c>
      <c r="E121" s="26">
        <v>1.0</v>
      </c>
      <c r="F121" s="27"/>
      <c r="G121" s="27"/>
      <c r="H121" s="27"/>
      <c r="I121" s="27"/>
      <c r="J121" s="27"/>
      <c r="K121" s="27"/>
      <c r="L121" s="27"/>
      <c r="M121" s="27"/>
      <c r="N121" s="27"/>
      <c r="O121" s="26">
        <v>1.0</v>
      </c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>
        <f t="shared" si="14"/>
        <v>1</v>
      </c>
      <c r="AL121" s="29">
        <v>0.0</v>
      </c>
      <c r="AM121" s="27" t="s">
        <v>37</v>
      </c>
      <c r="AN121" s="39">
        <v>1.6736072E7</v>
      </c>
      <c r="AO121" s="36">
        <f t="shared" si="15"/>
        <v>16736072</v>
      </c>
      <c r="AP121" s="37" t="str">
        <f t="shared" si="16"/>
        <v>&lt;30 hari</v>
      </c>
      <c r="AQ121" s="34">
        <v>1.0</v>
      </c>
      <c r="AR121" s="33"/>
      <c r="AS121" s="33"/>
      <c r="AT121" s="33"/>
      <c r="AU121" s="33"/>
      <c r="AV121" s="33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</row>
    <row r="122" ht="18.75" customHeight="1">
      <c r="A122" s="23"/>
      <c r="B122" s="24" t="s">
        <v>202</v>
      </c>
      <c r="C122" s="24" t="s">
        <v>203</v>
      </c>
      <c r="D122" s="24" t="s">
        <v>217</v>
      </c>
      <c r="E122" s="26">
        <v>1.0</v>
      </c>
      <c r="F122" s="27"/>
      <c r="G122" s="27"/>
      <c r="H122" s="27"/>
      <c r="I122" s="27"/>
      <c r="J122" s="27"/>
      <c r="K122" s="27"/>
      <c r="L122" s="27"/>
      <c r="M122" s="27"/>
      <c r="N122" s="27"/>
      <c r="O122" s="26">
        <v>1.0</v>
      </c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>
        <f t="shared" si="14"/>
        <v>1</v>
      </c>
      <c r="AL122" s="29">
        <v>0.0</v>
      </c>
      <c r="AM122" s="27" t="s">
        <v>37</v>
      </c>
      <c r="AN122" s="39">
        <v>1.3936221E7</v>
      </c>
      <c r="AO122" s="36">
        <f t="shared" si="15"/>
        <v>13936221</v>
      </c>
      <c r="AP122" s="37" t="str">
        <f t="shared" si="16"/>
        <v>&lt;30 hari</v>
      </c>
      <c r="AQ122" s="34">
        <v>1.0</v>
      </c>
      <c r="AR122" s="33"/>
      <c r="AS122" s="33"/>
      <c r="AT122" s="33"/>
      <c r="AU122" s="33"/>
      <c r="AV122" s="33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</row>
    <row r="123" ht="18.75" customHeight="1">
      <c r="A123" s="23"/>
      <c r="B123" s="24" t="s">
        <v>202</v>
      </c>
      <c r="C123" s="24" t="s">
        <v>203</v>
      </c>
      <c r="D123" s="24" t="s">
        <v>218</v>
      </c>
      <c r="E123" s="26">
        <v>1.0</v>
      </c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6">
        <v>1.0</v>
      </c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>
        <f t="shared" si="14"/>
        <v>1</v>
      </c>
      <c r="AL123" s="29">
        <v>0.0</v>
      </c>
      <c r="AM123" s="27" t="s">
        <v>37</v>
      </c>
      <c r="AN123" s="39">
        <v>1.8871989E7</v>
      </c>
      <c r="AO123" s="36">
        <f t="shared" si="15"/>
        <v>18871989</v>
      </c>
      <c r="AP123" s="37" t="str">
        <f t="shared" si="16"/>
        <v>&lt;30 hari</v>
      </c>
      <c r="AQ123" s="34">
        <v>1.0</v>
      </c>
      <c r="AR123" s="33"/>
      <c r="AS123" s="33"/>
      <c r="AT123" s="33"/>
      <c r="AU123" s="33"/>
      <c r="AV123" s="33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</row>
    <row r="124" ht="18.75" customHeight="1">
      <c r="A124" s="23"/>
      <c r="B124" s="24" t="s">
        <v>202</v>
      </c>
      <c r="C124" s="24" t="s">
        <v>203</v>
      </c>
      <c r="D124" s="24" t="s">
        <v>219</v>
      </c>
      <c r="E124" s="26">
        <v>1.0</v>
      </c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6">
        <v>1.0</v>
      </c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>
        <f t="shared" si="14"/>
        <v>1</v>
      </c>
      <c r="AL124" s="29">
        <v>0.0</v>
      </c>
      <c r="AM124" s="27" t="s">
        <v>37</v>
      </c>
      <c r="AN124" s="39">
        <v>2.126296E7</v>
      </c>
      <c r="AO124" s="36">
        <f t="shared" si="15"/>
        <v>21262960</v>
      </c>
      <c r="AP124" s="37" t="str">
        <f t="shared" si="16"/>
        <v>&lt;30 hari</v>
      </c>
      <c r="AQ124" s="34">
        <v>1.0</v>
      </c>
      <c r="AR124" s="33"/>
      <c r="AS124" s="33"/>
      <c r="AT124" s="33"/>
      <c r="AU124" s="33"/>
      <c r="AV124" s="33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</row>
    <row r="125" ht="18.75" customHeight="1">
      <c r="A125" s="23"/>
      <c r="B125" s="24" t="s">
        <v>202</v>
      </c>
      <c r="C125" s="24" t="s">
        <v>203</v>
      </c>
      <c r="D125" s="24" t="s">
        <v>220</v>
      </c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>
        <f t="shared" si="14"/>
        <v>0</v>
      </c>
      <c r="AL125" s="29">
        <v>0.0</v>
      </c>
      <c r="AM125" s="27" t="s">
        <v>37</v>
      </c>
      <c r="AN125" s="39">
        <v>1.3880002E7</v>
      </c>
      <c r="AO125" s="36">
        <f t="shared" si="15"/>
        <v>0</v>
      </c>
      <c r="AP125" s="37" t="str">
        <f t="shared" si="16"/>
        <v/>
      </c>
      <c r="AQ125" s="33"/>
      <c r="AR125" s="33"/>
      <c r="AS125" s="33"/>
      <c r="AT125" s="33"/>
      <c r="AU125" s="33"/>
      <c r="AV125" s="33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</row>
    <row r="126" ht="18.75" hidden="1" customHeight="1">
      <c r="A126" s="23"/>
      <c r="B126" s="24" t="s">
        <v>202</v>
      </c>
      <c r="C126" s="24" t="s">
        <v>203</v>
      </c>
      <c r="D126" s="24" t="s">
        <v>221</v>
      </c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>
        <f t="shared" si="14"/>
        <v>0</v>
      </c>
      <c r="AL126" s="29">
        <v>0.0</v>
      </c>
      <c r="AM126" s="27" t="s">
        <v>37</v>
      </c>
      <c r="AN126" s="39">
        <v>1.429118E7</v>
      </c>
      <c r="AO126" s="36">
        <f t="shared" si="15"/>
        <v>0</v>
      </c>
      <c r="AP126" s="37" t="str">
        <f t="shared" si="16"/>
        <v/>
      </c>
      <c r="AQ126" s="33"/>
      <c r="AR126" s="33"/>
      <c r="AS126" s="33"/>
      <c r="AT126" s="33"/>
      <c r="AU126" s="33"/>
      <c r="AV126" s="33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</row>
    <row r="127" ht="18.75" hidden="1" customHeight="1">
      <c r="A127" s="23"/>
      <c r="B127" s="24" t="s">
        <v>202</v>
      </c>
      <c r="C127" s="24" t="s">
        <v>203</v>
      </c>
      <c r="D127" s="24" t="s">
        <v>222</v>
      </c>
      <c r="E127" s="26">
        <v>1.0</v>
      </c>
      <c r="F127" s="27"/>
      <c r="G127" s="27"/>
      <c r="H127" s="27"/>
      <c r="I127" s="27"/>
      <c r="J127" s="27"/>
      <c r="K127" s="27"/>
      <c r="L127" s="27"/>
      <c r="M127" s="27"/>
      <c r="N127" s="27"/>
      <c r="O127" s="26">
        <v>1.0</v>
      </c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>
        <f t="shared" si="14"/>
        <v>1</v>
      </c>
      <c r="AL127" s="29">
        <v>0.0</v>
      </c>
      <c r="AM127" s="27" t="s">
        <v>37</v>
      </c>
      <c r="AN127" s="39">
        <v>1.6065383E7</v>
      </c>
      <c r="AO127" s="36">
        <f t="shared" si="15"/>
        <v>16065383</v>
      </c>
      <c r="AP127" s="37" t="str">
        <f t="shared" si="16"/>
        <v>&lt;30 hari</v>
      </c>
      <c r="AQ127" s="34">
        <v>1.0</v>
      </c>
      <c r="AR127" s="33"/>
      <c r="AS127" s="33"/>
      <c r="AT127" s="33"/>
      <c r="AU127" s="33"/>
      <c r="AV127" s="33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</row>
    <row r="128" ht="18.75" customHeight="1">
      <c r="A128" s="23"/>
      <c r="B128" s="24" t="s">
        <v>202</v>
      </c>
      <c r="C128" s="24" t="s">
        <v>203</v>
      </c>
      <c r="D128" s="24" t="s">
        <v>223</v>
      </c>
      <c r="E128" s="26">
        <v>1.0</v>
      </c>
      <c r="F128" s="27"/>
      <c r="G128" s="27"/>
      <c r="H128" s="27"/>
      <c r="I128" s="27"/>
      <c r="J128" s="27"/>
      <c r="K128" s="27"/>
      <c r="L128" s="27"/>
      <c r="M128" s="27"/>
      <c r="N128" s="27"/>
      <c r="O128" s="26">
        <v>1.0</v>
      </c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>
        <f t="shared" si="14"/>
        <v>1</v>
      </c>
      <c r="AL128" s="29">
        <v>0.0</v>
      </c>
      <c r="AM128" s="27" t="s">
        <v>37</v>
      </c>
      <c r="AN128" s="39">
        <v>1.3349899E7</v>
      </c>
      <c r="AO128" s="36">
        <f t="shared" si="15"/>
        <v>13349899</v>
      </c>
      <c r="AP128" s="37" t="str">
        <f t="shared" si="16"/>
        <v>&lt;30 hari</v>
      </c>
      <c r="AQ128" s="34">
        <v>1.0</v>
      </c>
      <c r="AR128" s="33"/>
      <c r="AS128" s="33"/>
      <c r="AT128" s="33"/>
      <c r="AU128" s="33"/>
      <c r="AV128" s="33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</row>
    <row r="129" ht="18.75" customHeight="1">
      <c r="A129" s="23"/>
      <c r="B129" s="24" t="s">
        <v>202</v>
      </c>
      <c r="C129" s="24" t="s">
        <v>203</v>
      </c>
      <c r="D129" s="24" t="s">
        <v>224</v>
      </c>
      <c r="E129" s="26">
        <v>1.0</v>
      </c>
      <c r="F129" s="27"/>
      <c r="G129" s="27"/>
      <c r="H129" s="27"/>
      <c r="I129" s="27"/>
      <c r="J129" s="27"/>
      <c r="K129" s="27"/>
      <c r="L129" s="27"/>
      <c r="M129" s="27"/>
      <c r="N129" s="27"/>
      <c r="O129" s="26">
        <v>1.0</v>
      </c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>
        <f t="shared" si="14"/>
        <v>1</v>
      </c>
      <c r="AL129" s="29">
        <v>0.0</v>
      </c>
      <c r="AM129" s="27" t="s">
        <v>37</v>
      </c>
      <c r="AN129" s="39">
        <v>1.8070971E7</v>
      </c>
      <c r="AO129" s="36">
        <f t="shared" si="15"/>
        <v>18070971</v>
      </c>
      <c r="AP129" s="37" t="str">
        <f t="shared" si="16"/>
        <v>&lt;30 hari</v>
      </c>
      <c r="AQ129" s="34">
        <v>1.0</v>
      </c>
      <c r="AR129" s="33"/>
      <c r="AS129" s="33"/>
      <c r="AT129" s="33"/>
      <c r="AU129" s="33"/>
      <c r="AV129" s="33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</row>
    <row r="130" ht="18.75" customHeight="1">
      <c r="A130" s="23"/>
      <c r="B130" s="24" t="s">
        <v>202</v>
      </c>
      <c r="C130" s="24" t="s">
        <v>203</v>
      </c>
      <c r="D130" s="24" t="s">
        <v>225</v>
      </c>
      <c r="E130" s="26">
        <v>1.0</v>
      </c>
      <c r="F130" s="27"/>
      <c r="G130" s="27"/>
      <c r="H130" s="27"/>
      <c r="I130" s="27"/>
      <c r="J130" s="27"/>
      <c r="K130" s="27"/>
      <c r="L130" s="27"/>
      <c r="M130" s="27"/>
      <c r="N130" s="26"/>
      <c r="O130" s="26">
        <v>2.0</v>
      </c>
      <c r="P130" s="26">
        <v>3.0</v>
      </c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>
        <f t="shared" si="14"/>
        <v>5</v>
      </c>
      <c r="AL130" s="29">
        <v>0.0</v>
      </c>
      <c r="AM130" s="27" t="s">
        <v>37</v>
      </c>
      <c r="AN130" s="39">
        <v>2.021941E7</v>
      </c>
      <c r="AO130" s="36">
        <f t="shared" si="15"/>
        <v>101097050</v>
      </c>
      <c r="AP130" s="37" t="str">
        <f t="shared" si="16"/>
        <v>&lt;30 hari</v>
      </c>
      <c r="AQ130" s="34">
        <v>1.0</v>
      </c>
      <c r="AR130" s="33"/>
      <c r="AS130" s="33"/>
      <c r="AT130" s="33"/>
      <c r="AU130" s="33"/>
      <c r="AV130" s="33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</row>
    <row r="131" ht="18.75" customHeight="1">
      <c r="A131" s="23"/>
      <c r="B131" s="24" t="s">
        <v>202</v>
      </c>
      <c r="C131" s="24" t="s">
        <v>203</v>
      </c>
      <c r="D131" s="24" t="s">
        <v>226</v>
      </c>
      <c r="E131" s="26">
        <v>5.0</v>
      </c>
      <c r="F131" s="27"/>
      <c r="G131" s="27"/>
      <c r="H131" s="27"/>
      <c r="I131" s="27"/>
      <c r="J131" s="27"/>
      <c r="K131" s="27"/>
      <c r="L131" s="27"/>
      <c r="M131" s="27"/>
      <c r="N131" s="27"/>
      <c r="O131" s="26">
        <v>1.0</v>
      </c>
      <c r="P131" s="26">
        <v>4.0</v>
      </c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>
        <f t="shared" si="14"/>
        <v>5</v>
      </c>
      <c r="AL131" s="29">
        <v>0.0</v>
      </c>
      <c r="AM131" s="27" t="s">
        <v>37</v>
      </c>
      <c r="AN131" s="39">
        <v>1.7124158E7</v>
      </c>
      <c r="AO131" s="36">
        <f t="shared" si="15"/>
        <v>85620790</v>
      </c>
      <c r="AP131" s="37" t="str">
        <f t="shared" si="16"/>
        <v>&lt;30 hari; 30-60 hari</v>
      </c>
      <c r="AQ131" s="34">
        <v>3.0</v>
      </c>
      <c r="AR131" s="34">
        <v>2.0</v>
      </c>
      <c r="AS131" s="33"/>
      <c r="AT131" s="33"/>
      <c r="AU131" s="33"/>
      <c r="AV131" s="33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</row>
    <row r="132" ht="18.75" customHeight="1">
      <c r="A132" s="23"/>
      <c r="B132" s="24" t="s">
        <v>202</v>
      </c>
      <c r="C132" s="24" t="s">
        <v>203</v>
      </c>
      <c r="D132" s="24" t="s">
        <v>227</v>
      </c>
      <c r="E132" s="26">
        <v>15.0</v>
      </c>
      <c r="F132" s="27"/>
      <c r="G132" s="27"/>
      <c r="H132" s="27"/>
      <c r="I132" s="27"/>
      <c r="J132" s="27"/>
      <c r="K132" s="27"/>
      <c r="L132" s="27"/>
      <c r="M132" s="27"/>
      <c r="N132" s="27"/>
      <c r="O132" s="26">
        <v>10.0</v>
      </c>
      <c r="P132" s="26">
        <v>5.0</v>
      </c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>
        <f t="shared" si="14"/>
        <v>15</v>
      </c>
      <c r="AL132" s="29">
        <v>0.0</v>
      </c>
      <c r="AM132" s="27" t="s">
        <v>37</v>
      </c>
      <c r="AN132" s="39">
        <v>1.6322537E7</v>
      </c>
      <c r="AO132" s="36">
        <f t="shared" si="15"/>
        <v>244838055</v>
      </c>
      <c r="AP132" s="37" t="str">
        <f t="shared" si="16"/>
        <v>&lt;30 hari; 30-60 hari</v>
      </c>
      <c r="AQ132" s="34">
        <v>5.0</v>
      </c>
      <c r="AR132" s="34">
        <v>10.0</v>
      </c>
      <c r="AS132" s="33"/>
      <c r="AT132" s="33"/>
      <c r="AU132" s="33"/>
      <c r="AV132" s="33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</row>
    <row r="133" ht="18.75" customHeight="1">
      <c r="A133" s="23"/>
      <c r="B133" s="24" t="s">
        <v>202</v>
      </c>
      <c r="C133" s="24" t="s">
        <v>203</v>
      </c>
      <c r="D133" s="24" t="s">
        <v>228</v>
      </c>
      <c r="E133" s="26">
        <v>5.0</v>
      </c>
      <c r="F133" s="27"/>
      <c r="G133" s="27"/>
      <c r="H133" s="27"/>
      <c r="I133" s="27"/>
      <c r="J133" s="27"/>
      <c r="K133" s="27"/>
      <c r="L133" s="27"/>
      <c r="M133" s="27"/>
      <c r="N133" s="27"/>
      <c r="O133" s="26">
        <v>1.0</v>
      </c>
      <c r="P133" s="26">
        <v>4.0</v>
      </c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>
        <f t="shared" si="14"/>
        <v>5</v>
      </c>
      <c r="AL133" s="29">
        <v>0.0</v>
      </c>
      <c r="AM133" s="27" t="s">
        <v>37</v>
      </c>
      <c r="AN133" s="39">
        <v>1.2776027E7</v>
      </c>
      <c r="AO133" s="36">
        <f t="shared" si="15"/>
        <v>63880135</v>
      </c>
      <c r="AP133" s="37" t="str">
        <f t="shared" si="16"/>
        <v>&lt;30 hari; 30-60 hari</v>
      </c>
      <c r="AQ133" s="34">
        <v>3.0</v>
      </c>
      <c r="AR133" s="34">
        <v>2.0</v>
      </c>
      <c r="AS133" s="33"/>
      <c r="AT133" s="33"/>
      <c r="AU133" s="33"/>
      <c r="AV133" s="33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</row>
    <row r="134" ht="18.75" customHeight="1">
      <c r="A134" s="23"/>
      <c r="B134" s="24" t="s">
        <v>202</v>
      </c>
      <c r="C134" s="24" t="s">
        <v>203</v>
      </c>
      <c r="D134" s="24" t="s">
        <v>229</v>
      </c>
      <c r="E134" s="26">
        <v>5.0</v>
      </c>
      <c r="F134" s="27"/>
      <c r="G134" s="27"/>
      <c r="H134" s="27"/>
      <c r="I134" s="27"/>
      <c r="J134" s="27"/>
      <c r="K134" s="27"/>
      <c r="L134" s="27"/>
      <c r="M134" s="27"/>
      <c r="N134" s="27"/>
      <c r="O134" s="26">
        <v>4.0</v>
      </c>
      <c r="P134" s="26">
        <v>1.0</v>
      </c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>
        <f t="shared" si="14"/>
        <v>5</v>
      </c>
      <c r="AL134" s="29">
        <v>0.0</v>
      </c>
      <c r="AM134" s="27" t="s">
        <v>37</v>
      </c>
      <c r="AN134" s="39">
        <v>1.7124158E7</v>
      </c>
      <c r="AO134" s="36">
        <f t="shared" si="15"/>
        <v>85620790</v>
      </c>
      <c r="AP134" s="37" t="str">
        <f t="shared" si="16"/>
        <v>&lt;30 hari; 30-60 hari</v>
      </c>
      <c r="AQ134" s="34">
        <v>1.0</v>
      </c>
      <c r="AR134" s="34">
        <v>4.0</v>
      </c>
      <c r="AS134" s="33"/>
      <c r="AT134" s="33"/>
      <c r="AU134" s="33"/>
      <c r="AV134" s="33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</row>
    <row r="135" ht="18.75" customHeight="1">
      <c r="A135" s="23"/>
      <c r="B135" s="24" t="s">
        <v>202</v>
      </c>
      <c r="C135" s="24" t="s">
        <v>203</v>
      </c>
      <c r="D135" s="24" t="s">
        <v>230</v>
      </c>
      <c r="E135" s="26">
        <v>2.0</v>
      </c>
      <c r="F135" s="27"/>
      <c r="G135" s="27"/>
      <c r="H135" s="27"/>
      <c r="I135" s="27"/>
      <c r="J135" s="27"/>
      <c r="K135" s="27"/>
      <c r="L135" s="27"/>
      <c r="M135" s="27"/>
      <c r="N135" s="27"/>
      <c r="O135" s="26">
        <v>1.0</v>
      </c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>
        <f t="shared" si="14"/>
        <v>1</v>
      </c>
      <c r="AL135" s="29">
        <v>0.0</v>
      </c>
      <c r="AM135" s="27" t="s">
        <v>37</v>
      </c>
      <c r="AN135" s="39">
        <v>1.4633419E7</v>
      </c>
      <c r="AO135" s="36">
        <f t="shared" si="15"/>
        <v>14633419</v>
      </c>
      <c r="AP135" s="37" t="str">
        <f t="shared" si="16"/>
        <v>&lt;30 hari</v>
      </c>
      <c r="AQ135" s="34">
        <v>2.0</v>
      </c>
      <c r="AR135" s="33"/>
      <c r="AS135" s="33"/>
      <c r="AT135" s="33"/>
      <c r="AU135" s="33"/>
      <c r="AV135" s="33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</row>
    <row r="136" ht="18.75" customHeight="1">
      <c r="A136" s="23"/>
      <c r="B136" s="24" t="s">
        <v>202</v>
      </c>
      <c r="C136" s="24" t="s">
        <v>203</v>
      </c>
      <c r="D136" s="24" t="s">
        <v>231</v>
      </c>
      <c r="E136" s="26">
        <v>6.0</v>
      </c>
      <c r="F136" s="27"/>
      <c r="G136" s="27"/>
      <c r="H136" s="27"/>
      <c r="I136" s="27"/>
      <c r="J136" s="27"/>
      <c r="K136" s="27"/>
      <c r="L136" s="27"/>
      <c r="M136" s="27"/>
      <c r="N136" s="27"/>
      <c r="O136" s="26">
        <v>5.0</v>
      </c>
      <c r="P136" s="26">
        <v>1.0</v>
      </c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>
        <f t="shared" si="14"/>
        <v>6</v>
      </c>
      <c r="AL136" s="29">
        <v>0.0</v>
      </c>
      <c r="AM136" s="27" t="s">
        <v>37</v>
      </c>
      <c r="AN136" s="39">
        <v>1.3831915E7</v>
      </c>
      <c r="AO136" s="36">
        <f t="shared" si="15"/>
        <v>82991490</v>
      </c>
      <c r="AP136" s="37" t="str">
        <f t="shared" si="16"/>
        <v>&lt;30 hari; 30-60 hari</v>
      </c>
      <c r="AQ136" s="34">
        <v>6.0</v>
      </c>
      <c r="AR136" s="34">
        <v>2.0</v>
      </c>
      <c r="AS136" s="33"/>
      <c r="AT136" s="33"/>
      <c r="AU136" s="33"/>
      <c r="AV136" s="33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</row>
    <row r="137" ht="18.75" customHeight="1">
      <c r="A137" s="23"/>
      <c r="B137" s="24" t="s">
        <v>202</v>
      </c>
      <c r="C137" s="24" t="s">
        <v>203</v>
      </c>
      <c r="D137" s="24" t="s">
        <v>232</v>
      </c>
      <c r="E137" s="26">
        <v>2.0</v>
      </c>
      <c r="F137" s="27"/>
      <c r="G137" s="27"/>
      <c r="H137" s="27"/>
      <c r="I137" s="27"/>
      <c r="J137" s="27"/>
      <c r="K137" s="27"/>
      <c r="L137" s="27"/>
      <c r="M137" s="27"/>
      <c r="N137" s="27"/>
      <c r="O137" s="26">
        <v>2.0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>
        <f t="shared" si="14"/>
        <v>2</v>
      </c>
      <c r="AL137" s="29">
        <v>0.0</v>
      </c>
      <c r="AM137" s="27" t="s">
        <v>37</v>
      </c>
      <c r="AN137" s="39">
        <v>1.1027688E7</v>
      </c>
      <c r="AO137" s="36">
        <f t="shared" si="15"/>
        <v>22055376</v>
      </c>
      <c r="AP137" s="37" t="str">
        <f t="shared" si="16"/>
        <v>&lt;30 hari</v>
      </c>
      <c r="AQ137" s="34">
        <v>2.0</v>
      </c>
      <c r="AR137" s="33"/>
      <c r="AS137" s="33"/>
      <c r="AT137" s="33"/>
      <c r="AU137" s="33"/>
      <c r="AV137" s="33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</row>
    <row r="138" ht="18.75" customHeight="1">
      <c r="A138" s="23"/>
      <c r="B138" s="24" t="s">
        <v>202</v>
      </c>
      <c r="C138" s="24" t="s">
        <v>203</v>
      </c>
      <c r="D138" s="24" t="s">
        <v>233</v>
      </c>
      <c r="E138" s="26">
        <v>2.0</v>
      </c>
      <c r="F138" s="27"/>
      <c r="G138" s="27"/>
      <c r="H138" s="27"/>
      <c r="I138" s="27"/>
      <c r="J138" s="27"/>
      <c r="K138" s="27"/>
      <c r="L138" s="27"/>
      <c r="M138" s="27"/>
      <c r="N138" s="27"/>
      <c r="O138" s="26">
        <v>2.0</v>
      </c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>
        <f t="shared" si="14"/>
        <v>2</v>
      </c>
      <c r="AL138" s="29">
        <v>0.0</v>
      </c>
      <c r="AM138" s="27" t="s">
        <v>37</v>
      </c>
      <c r="AN138" s="39">
        <v>1.4633419E7</v>
      </c>
      <c r="AO138" s="36">
        <f t="shared" si="15"/>
        <v>29266838</v>
      </c>
      <c r="AP138" s="37" t="str">
        <f t="shared" si="16"/>
        <v>&lt;30 hari</v>
      </c>
      <c r="AQ138" s="34">
        <v>2.0</v>
      </c>
      <c r="AR138" s="33"/>
      <c r="AS138" s="33"/>
      <c r="AT138" s="33"/>
      <c r="AU138" s="33"/>
      <c r="AV138" s="33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</row>
    <row r="139" ht="18.75" customHeight="1">
      <c r="A139" s="23"/>
      <c r="B139" s="24" t="s">
        <v>202</v>
      </c>
      <c r="C139" s="24" t="s">
        <v>203</v>
      </c>
      <c r="D139" s="24" t="s">
        <v>234</v>
      </c>
      <c r="E139" s="26">
        <v>1.0</v>
      </c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6">
        <v>1.0</v>
      </c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>
        <f t="shared" si="14"/>
        <v>1</v>
      </c>
      <c r="AL139" s="29">
        <v>0.0</v>
      </c>
      <c r="AM139" s="27" t="s">
        <v>37</v>
      </c>
      <c r="AN139" s="39">
        <v>1.6616948E7</v>
      </c>
      <c r="AO139" s="36">
        <f t="shared" si="15"/>
        <v>16616948</v>
      </c>
      <c r="AP139" s="37" t="str">
        <f t="shared" si="16"/>
        <v>&lt;30 hari</v>
      </c>
      <c r="AQ139" s="34">
        <v>1.0</v>
      </c>
      <c r="AR139" s="33"/>
      <c r="AS139" s="33"/>
      <c r="AT139" s="33"/>
      <c r="AU139" s="33"/>
      <c r="AV139" s="33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</row>
    <row r="140" ht="18.75" customHeight="1">
      <c r="A140" s="23"/>
      <c r="B140" s="24" t="s">
        <v>202</v>
      </c>
      <c r="C140" s="24" t="s">
        <v>203</v>
      </c>
      <c r="D140" s="24" t="s">
        <v>235</v>
      </c>
      <c r="E140" s="26">
        <v>3.0</v>
      </c>
      <c r="F140" s="27"/>
      <c r="G140" s="27"/>
      <c r="H140" s="27"/>
      <c r="I140" s="27"/>
      <c r="J140" s="27"/>
      <c r="K140" s="27"/>
      <c r="L140" s="27"/>
      <c r="M140" s="27"/>
      <c r="N140" s="27"/>
      <c r="O140" s="26">
        <v>1.0</v>
      </c>
      <c r="P140" s="26">
        <v>2.0</v>
      </c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>
        <f t="shared" si="14"/>
        <v>3</v>
      </c>
      <c r="AL140" s="29">
        <v>0.0</v>
      </c>
      <c r="AM140" s="27" t="s">
        <v>37</v>
      </c>
      <c r="AN140" s="39">
        <v>1.5701236E7</v>
      </c>
      <c r="AO140" s="36">
        <f t="shared" si="15"/>
        <v>47103708</v>
      </c>
      <c r="AP140" s="37" t="str">
        <f t="shared" si="16"/>
        <v>&lt;30 hari; 30-60 hari</v>
      </c>
      <c r="AQ140" s="34">
        <v>2.0</v>
      </c>
      <c r="AR140" s="34">
        <v>1.0</v>
      </c>
      <c r="AS140" s="33"/>
      <c r="AT140" s="33"/>
      <c r="AU140" s="33"/>
      <c r="AV140" s="33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</row>
    <row r="141" ht="18.75" customHeight="1">
      <c r="A141" s="23"/>
      <c r="B141" s="24" t="s">
        <v>202</v>
      </c>
      <c r="C141" s="24" t="s">
        <v>203</v>
      </c>
      <c r="D141" s="24" t="s">
        <v>236</v>
      </c>
      <c r="E141" s="26">
        <v>1.0</v>
      </c>
      <c r="F141" s="27"/>
      <c r="G141" s="27"/>
      <c r="H141" s="27"/>
      <c r="I141" s="27"/>
      <c r="J141" s="27"/>
      <c r="K141" s="27"/>
      <c r="L141" s="27"/>
      <c r="M141" s="27"/>
      <c r="N141" s="27"/>
      <c r="O141" s="26">
        <v>1.0</v>
      </c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>
        <f t="shared" si="14"/>
        <v>1</v>
      </c>
      <c r="AL141" s="29">
        <v>0.0</v>
      </c>
      <c r="AM141" s="27" t="s">
        <v>37</v>
      </c>
      <c r="AN141" s="39">
        <v>1.2490422E7</v>
      </c>
      <c r="AO141" s="36">
        <f t="shared" si="15"/>
        <v>12490422</v>
      </c>
      <c r="AP141" s="37" t="str">
        <f t="shared" si="16"/>
        <v>&lt;30 hari</v>
      </c>
      <c r="AQ141" s="34">
        <v>1.0</v>
      </c>
      <c r="AR141" s="33"/>
      <c r="AS141" s="33"/>
      <c r="AT141" s="33"/>
      <c r="AU141" s="33"/>
      <c r="AV141" s="33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</row>
    <row r="142" ht="18.75" customHeight="1">
      <c r="A142" s="23"/>
      <c r="B142" s="24" t="s">
        <v>202</v>
      </c>
      <c r="C142" s="24" t="s">
        <v>203</v>
      </c>
      <c r="D142" s="24" t="s">
        <v>237</v>
      </c>
      <c r="E142" s="26">
        <v>1.0</v>
      </c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6">
        <v>1.0</v>
      </c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>
        <f t="shared" si="14"/>
        <v>1</v>
      </c>
      <c r="AL142" s="29">
        <v>0.0</v>
      </c>
      <c r="AM142" s="27" t="s">
        <v>37</v>
      </c>
      <c r="AN142" s="39">
        <v>1.6616948E7</v>
      </c>
      <c r="AO142" s="36">
        <f t="shared" si="15"/>
        <v>16616948</v>
      </c>
      <c r="AP142" s="37" t="str">
        <f t="shared" si="16"/>
        <v>&lt;30 hari</v>
      </c>
      <c r="AQ142" s="34">
        <v>1.0</v>
      </c>
      <c r="AR142" s="33"/>
      <c r="AS142" s="33"/>
      <c r="AT142" s="33"/>
      <c r="AU142" s="33"/>
      <c r="AV142" s="33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</row>
    <row r="143" ht="18.75" customHeight="1">
      <c r="A143" s="23"/>
      <c r="B143" s="24" t="s">
        <v>202</v>
      </c>
      <c r="C143" s="24" t="s">
        <v>203</v>
      </c>
      <c r="D143" s="24" t="s">
        <v>238</v>
      </c>
      <c r="E143" s="26">
        <v>2.0</v>
      </c>
      <c r="F143" s="27"/>
      <c r="G143" s="27"/>
      <c r="H143" s="27"/>
      <c r="I143" s="27"/>
      <c r="J143" s="27"/>
      <c r="K143" s="27"/>
      <c r="L143" s="27"/>
      <c r="M143" s="27"/>
      <c r="N143" s="27"/>
      <c r="O143" s="26">
        <v>1.0</v>
      </c>
      <c r="P143" s="26">
        <v>1.0</v>
      </c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>
        <f t="shared" si="14"/>
        <v>2</v>
      </c>
      <c r="AL143" s="29">
        <v>0.0</v>
      </c>
      <c r="AM143" s="27" t="s">
        <v>37</v>
      </c>
      <c r="AN143" s="39">
        <v>1.6048626E7</v>
      </c>
      <c r="AO143" s="36">
        <f t="shared" si="15"/>
        <v>32097252</v>
      </c>
      <c r="AP143" s="37" t="str">
        <f t="shared" si="16"/>
        <v>&lt;30 hari</v>
      </c>
      <c r="AQ143" s="34">
        <v>2.0</v>
      </c>
      <c r="AR143" s="33"/>
      <c r="AS143" s="33"/>
      <c r="AT143" s="33"/>
      <c r="AU143" s="33"/>
      <c r="AV143" s="33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</row>
    <row r="144" ht="18.75" customHeight="1">
      <c r="A144" s="23"/>
      <c r="B144" s="24" t="s">
        <v>202</v>
      </c>
      <c r="C144" s="24" t="s">
        <v>203</v>
      </c>
      <c r="D144" s="24" t="s">
        <v>239</v>
      </c>
      <c r="E144" s="26">
        <v>9.0</v>
      </c>
      <c r="F144" s="27"/>
      <c r="G144" s="27"/>
      <c r="H144" s="27"/>
      <c r="I144" s="27"/>
      <c r="J144" s="27"/>
      <c r="K144" s="27"/>
      <c r="L144" s="27"/>
      <c r="M144" s="27"/>
      <c r="N144" s="27"/>
      <c r="O144" s="26">
        <v>5.0</v>
      </c>
      <c r="P144" s="26">
        <v>4.0</v>
      </c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>
        <f t="shared" si="14"/>
        <v>9</v>
      </c>
      <c r="AL144" s="29">
        <v>0.0</v>
      </c>
      <c r="AM144" s="27" t="s">
        <v>37</v>
      </c>
      <c r="AN144" s="39">
        <v>1.515071E7</v>
      </c>
      <c r="AO144" s="36">
        <f t="shared" si="15"/>
        <v>136356390</v>
      </c>
      <c r="AP144" s="37" t="str">
        <f t="shared" si="16"/>
        <v>&lt;30 hari; 30-60 hari</v>
      </c>
      <c r="AQ144" s="34">
        <v>4.0</v>
      </c>
      <c r="AR144" s="34">
        <v>5.0</v>
      </c>
      <c r="AS144" s="33"/>
      <c r="AT144" s="33"/>
      <c r="AU144" s="33"/>
      <c r="AV144" s="33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</row>
    <row r="145" ht="18.75" customHeight="1">
      <c r="A145" s="40"/>
      <c r="B145" s="24" t="s">
        <v>240</v>
      </c>
      <c r="C145" s="24" t="s">
        <v>241</v>
      </c>
      <c r="D145" s="24" t="s">
        <v>242</v>
      </c>
      <c r="E145" s="26">
        <v>2.0</v>
      </c>
      <c r="F145" s="27"/>
      <c r="G145" s="27"/>
      <c r="H145" s="27"/>
      <c r="I145" s="27"/>
      <c r="J145" s="27"/>
      <c r="K145" s="27"/>
      <c r="L145" s="27"/>
      <c r="M145" s="26">
        <v>1.0</v>
      </c>
      <c r="N145" s="26">
        <v>1.0</v>
      </c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>
        <f t="shared" si="14"/>
        <v>2</v>
      </c>
      <c r="AL145" s="29">
        <v>0.0</v>
      </c>
      <c r="AM145" s="27" t="s">
        <v>37</v>
      </c>
      <c r="AN145" s="39">
        <v>8.1568412E7</v>
      </c>
      <c r="AO145" s="36">
        <f t="shared" si="15"/>
        <v>163136824</v>
      </c>
      <c r="AP145" s="37" t="str">
        <f t="shared" si="16"/>
        <v>30-60 hari; 60-90 hari</v>
      </c>
      <c r="AQ145" s="33"/>
      <c r="AR145" s="34">
        <v>1.0</v>
      </c>
      <c r="AS145" s="34">
        <v>1.0</v>
      </c>
      <c r="AT145" s="33"/>
      <c r="AU145" s="33"/>
      <c r="AV145" s="33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</row>
    <row r="146" ht="18.75" customHeight="1">
      <c r="A146" s="23"/>
      <c r="B146" s="24" t="s">
        <v>240</v>
      </c>
      <c r="C146" s="24" t="s">
        <v>241</v>
      </c>
      <c r="D146" s="24" t="s">
        <v>243</v>
      </c>
      <c r="E146" s="26">
        <v>4.0</v>
      </c>
      <c r="F146" s="27"/>
      <c r="G146" s="27"/>
      <c r="H146" s="26">
        <v>4.0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>
        <f t="shared" si="14"/>
        <v>4</v>
      </c>
      <c r="AL146" s="29">
        <v>0.0</v>
      </c>
      <c r="AM146" s="27" t="s">
        <v>37</v>
      </c>
      <c r="AN146" s="39">
        <v>624156.0</v>
      </c>
      <c r="AO146" s="36">
        <f t="shared" si="15"/>
        <v>2496624</v>
      </c>
      <c r="AP146" s="37" t="str">
        <f t="shared" si="16"/>
        <v>&lt;30 hari; 30-60 hari</v>
      </c>
      <c r="AQ146" s="34">
        <v>2.0</v>
      </c>
      <c r="AR146" s="34">
        <v>2.0</v>
      </c>
      <c r="AS146" s="33"/>
      <c r="AT146" s="33"/>
      <c r="AU146" s="33"/>
      <c r="AV146" s="33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</row>
    <row r="147" ht="18.75" customHeight="1">
      <c r="A147" s="23"/>
      <c r="B147" s="24" t="s">
        <v>240</v>
      </c>
      <c r="C147" s="24" t="s">
        <v>241</v>
      </c>
      <c r="D147" s="24" t="s">
        <v>244</v>
      </c>
      <c r="E147" s="26">
        <v>8.0</v>
      </c>
      <c r="F147" s="27"/>
      <c r="G147" s="27"/>
      <c r="H147" s="27"/>
      <c r="I147" s="26">
        <v>8.0</v>
      </c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>
        <f t="shared" si="14"/>
        <v>8</v>
      </c>
      <c r="AL147" s="29">
        <v>0.0</v>
      </c>
      <c r="AM147" s="27" t="s">
        <v>37</v>
      </c>
      <c r="AN147" s="39">
        <v>787519.0</v>
      </c>
      <c r="AO147" s="36">
        <f t="shared" si="15"/>
        <v>6300152</v>
      </c>
      <c r="AP147" s="37" t="str">
        <f t="shared" si="16"/>
        <v>&lt;30 hari; 30-60 hari</v>
      </c>
      <c r="AQ147" s="34">
        <v>2.0</v>
      </c>
      <c r="AR147" s="34">
        <v>6.0</v>
      </c>
      <c r="AS147" s="33"/>
      <c r="AT147" s="33"/>
      <c r="AU147" s="33"/>
      <c r="AV147" s="33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</row>
    <row r="148" ht="18.75" customHeight="1">
      <c r="A148" s="23"/>
      <c r="B148" s="24" t="s">
        <v>240</v>
      </c>
      <c r="C148" s="24" t="s">
        <v>241</v>
      </c>
      <c r="D148" s="24" t="s">
        <v>245</v>
      </c>
      <c r="E148" s="26">
        <v>24.0</v>
      </c>
      <c r="F148" s="27"/>
      <c r="G148" s="27"/>
      <c r="H148" s="26">
        <v>10.0</v>
      </c>
      <c r="I148" s="26">
        <v>10.0</v>
      </c>
      <c r="J148" s="26">
        <v>4.0</v>
      </c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>
        <f t="shared" si="14"/>
        <v>24</v>
      </c>
      <c r="AL148" s="29">
        <v>0.0</v>
      </c>
      <c r="AM148" s="27" t="s">
        <v>37</v>
      </c>
      <c r="AN148" s="39">
        <v>129312.0</v>
      </c>
      <c r="AO148" s="36">
        <f t="shared" si="15"/>
        <v>3103488</v>
      </c>
      <c r="AP148" s="37" t="str">
        <f t="shared" si="16"/>
        <v>60-90 hari</v>
      </c>
      <c r="AQ148" s="33"/>
      <c r="AR148" s="33"/>
      <c r="AS148" s="34">
        <v>24.0</v>
      </c>
      <c r="AT148" s="33"/>
      <c r="AU148" s="33"/>
      <c r="AV148" s="33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</row>
    <row r="149" ht="18.75" customHeight="1">
      <c r="A149" s="40"/>
      <c r="B149" s="24" t="s">
        <v>240</v>
      </c>
      <c r="C149" s="60" t="s">
        <v>246</v>
      </c>
      <c r="D149" s="24" t="s">
        <v>242</v>
      </c>
      <c r="E149" s="26">
        <v>2.0</v>
      </c>
      <c r="F149" s="27"/>
      <c r="G149" s="27"/>
      <c r="H149" s="27"/>
      <c r="I149" s="27"/>
      <c r="J149" s="27"/>
      <c r="K149" s="27"/>
      <c r="L149" s="27"/>
      <c r="M149" s="26">
        <v>1.0</v>
      </c>
      <c r="N149" s="26">
        <v>1.0</v>
      </c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>
        <f t="shared" si="14"/>
        <v>2</v>
      </c>
      <c r="AL149" s="29">
        <v>0.0</v>
      </c>
      <c r="AM149" s="27" t="s">
        <v>37</v>
      </c>
      <c r="AN149" s="39">
        <v>8.1568412E7</v>
      </c>
      <c r="AO149" s="36">
        <f t="shared" si="15"/>
        <v>163136824</v>
      </c>
      <c r="AP149" s="37" t="str">
        <f t="shared" si="16"/>
        <v>30-60 hari; 60-90 hari</v>
      </c>
      <c r="AQ149" s="33"/>
      <c r="AR149" s="34">
        <v>1.0</v>
      </c>
      <c r="AS149" s="34">
        <v>1.0</v>
      </c>
      <c r="AT149" s="33"/>
      <c r="AU149" s="33"/>
      <c r="AV149" s="33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</row>
    <row r="150" ht="18.75" customHeight="1">
      <c r="A150" s="23"/>
      <c r="B150" s="24" t="s">
        <v>240</v>
      </c>
      <c r="C150" s="60" t="s">
        <v>246</v>
      </c>
      <c r="D150" s="24" t="s">
        <v>243</v>
      </c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>
        <f t="shared" si="14"/>
        <v>0</v>
      </c>
      <c r="AL150" s="29">
        <v>0.0</v>
      </c>
      <c r="AM150" s="27" t="s">
        <v>37</v>
      </c>
      <c r="AN150" s="39">
        <v>624156.0</v>
      </c>
      <c r="AO150" s="36">
        <f t="shared" si="15"/>
        <v>0</v>
      </c>
      <c r="AP150" s="37" t="str">
        <f t="shared" si="16"/>
        <v/>
      </c>
      <c r="AQ150" s="33"/>
      <c r="AR150" s="33"/>
      <c r="AS150" s="33"/>
      <c r="AT150" s="33"/>
      <c r="AU150" s="33"/>
      <c r="AV150" s="33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</row>
    <row r="151" ht="18.75" hidden="1" customHeight="1">
      <c r="A151" s="23"/>
      <c r="B151" s="24" t="s">
        <v>240</v>
      </c>
      <c r="C151" s="60" t="s">
        <v>246</v>
      </c>
      <c r="D151" s="24" t="s">
        <v>244</v>
      </c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>
        <f t="shared" si="14"/>
        <v>0</v>
      </c>
      <c r="AL151" s="29">
        <v>0.0</v>
      </c>
      <c r="AM151" s="27" t="s">
        <v>37</v>
      </c>
      <c r="AN151" s="39">
        <v>787519.0</v>
      </c>
      <c r="AO151" s="36">
        <f t="shared" si="15"/>
        <v>0</v>
      </c>
      <c r="AP151" s="37" t="str">
        <f t="shared" si="16"/>
        <v/>
      </c>
      <c r="AQ151" s="33"/>
      <c r="AR151" s="33"/>
      <c r="AS151" s="33"/>
      <c r="AT151" s="33"/>
      <c r="AU151" s="33"/>
      <c r="AV151" s="33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</row>
    <row r="152" ht="18.75" hidden="1" customHeight="1">
      <c r="A152" s="23"/>
      <c r="B152" s="24" t="s">
        <v>240</v>
      </c>
      <c r="C152" s="60" t="s">
        <v>246</v>
      </c>
      <c r="D152" s="24" t="s">
        <v>245</v>
      </c>
      <c r="E152" s="26">
        <v>54.0</v>
      </c>
      <c r="F152" s="27"/>
      <c r="G152" s="27"/>
      <c r="H152" s="26">
        <v>20.0</v>
      </c>
      <c r="I152" s="26">
        <v>15.0</v>
      </c>
      <c r="J152" s="26">
        <v>19.0</v>
      </c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>
        <f t="shared" si="14"/>
        <v>54</v>
      </c>
      <c r="AL152" s="29">
        <v>0.0</v>
      </c>
      <c r="AM152" s="27" t="s">
        <v>37</v>
      </c>
      <c r="AN152" s="39">
        <v>129312.0</v>
      </c>
      <c r="AO152" s="36">
        <f t="shared" si="15"/>
        <v>6982848</v>
      </c>
      <c r="AP152" s="37" t="str">
        <f t="shared" si="16"/>
        <v>60-90 hari</v>
      </c>
      <c r="AQ152" s="33"/>
      <c r="AR152" s="33"/>
      <c r="AS152" s="34">
        <v>54.0</v>
      </c>
      <c r="AT152" s="33"/>
      <c r="AU152" s="33"/>
      <c r="AV152" s="33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</row>
    <row r="153" ht="18.75" customHeight="1">
      <c r="A153" s="40"/>
      <c r="B153" s="24" t="s">
        <v>247</v>
      </c>
      <c r="C153" s="24" t="s">
        <v>248</v>
      </c>
      <c r="D153" s="24" t="s">
        <v>249</v>
      </c>
      <c r="E153" s="26">
        <v>1.0</v>
      </c>
      <c r="F153" s="27"/>
      <c r="G153" s="27"/>
      <c r="H153" s="27"/>
      <c r="I153" s="27"/>
      <c r="J153" s="27"/>
      <c r="K153" s="27"/>
      <c r="L153" s="27"/>
      <c r="M153" s="27"/>
      <c r="N153" s="27"/>
      <c r="O153" s="26">
        <v>1.0</v>
      </c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>
        <f t="shared" si="14"/>
        <v>1</v>
      </c>
      <c r="AL153" s="29">
        <v>0.0</v>
      </c>
      <c r="AM153" s="27" t="s">
        <v>37</v>
      </c>
      <c r="AN153" s="39">
        <v>1.5533487E7</v>
      </c>
      <c r="AO153" s="36">
        <f t="shared" si="15"/>
        <v>15533487</v>
      </c>
      <c r="AP153" s="37" t="str">
        <f t="shared" si="16"/>
        <v>&lt;30 hari</v>
      </c>
      <c r="AQ153" s="34">
        <v>1.0</v>
      </c>
      <c r="AR153" s="33"/>
      <c r="AS153" s="33"/>
      <c r="AT153" s="33"/>
      <c r="AU153" s="33"/>
      <c r="AV153" s="33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</row>
    <row r="154" ht="18.75" customHeight="1">
      <c r="A154" s="23"/>
      <c r="B154" s="24" t="s">
        <v>247</v>
      </c>
      <c r="C154" s="24" t="s">
        <v>248</v>
      </c>
      <c r="D154" s="24" t="s">
        <v>250</v>
      </c>
      <c r="E154" s="26">
        <v>1.0</v>
      </c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6">
        <v>1.0</v>
      </c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>
        <f t="shared" si="14"/>
        <v>1</v>
      </c>
      <c r="AL154" s="29">
        <v>0.0</v>
      </c>
      <c r="AM154" s="27" t="s">
        <v>37</v>
      </c>
      <c r="AN154" s="39">
        <v>1.5394212E7</v>
      </c>
      <c r="AO154" s="36">
        <f t="shared" si="15"/>
        <v>15394212</v>
      </c>
      <c r="AP154" s="37" t="str">
        <f t="shared" si="16"/>
        <v>&lt;30 hari</v>
      </c>
      <c r="AQ154" s="34">
        <v>1.0</v>
      </c>
      <c r="AR154" s="33"/>
      <c r="AS154" s="33"/>
      <c r="AT154" s="33"/>
      <c r="AU154" s="33"/>
      <c r="AV154" s="33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</row>
    <row r="155" ht="18.75" customHeight="1">
      <c r="A155" s="23"/>
      <c r="B155" s="24" t="s">
        <v>247</v>
      </c>
      <c r="C155" s="24" t="s">
        <v>248</v>
      </c>
      <c r="D155" s="24" t="s">
        <v>251</v>
      </c>
      <c r="E155" s="26">
        <v>1.0</v>
      </c>
      <c r="F155" s="27"/>
      <c r="G155" s="27"/>
      <c r="H155" s="27"/>
      <c r="I155" s="27"/>
      <c r="J155" s="27"/>
      <c r="K155" s="27"/>
      <c r="L155" s="27"/>
      <c r="M155" s="27"/>
      <c r="N155" s="27"/>
      <c r="O155" s="26">
        <v>1.0</v>
      </c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>
        <f t="shared" si="14"/>
        <v>1</v>
      </c>
      <c r="AL155" s="29">
        <v>0.0</v>
      </c>
      <c r="AM155" s="27" t="s">
        <v>37</v>
      </c>
      <c r="AN155" s="39">
        <v>1.5301269E7</v>
      </c>
      <c r="AO155" s="36">
        <f t="shared" si="15"/>
        <v>15301269</v>
      </c>
      <c r="AP155" s="37" t="str">
        <f t="shared" si="16"/>
        <v>&lt;30 hari</v>
      </c>
      <c r="AQ155" s="34">
        <v>1.0</v>
      </c>
      <c r="AR155" s="33"/>
      <c r="AS155" s="33"/>
      <c r="AT155" s="33"/>
      <c r="AU155" s="33"/>
      <c r="AV155" s="33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  <c r="BQ155" s="38"/>
      <c r="BR155" s="38"/>
      <c r="BS155" s="38"/>
      <c r="BT155" s="38"/>
      <c r="BU155" s="38"/>
      <c r="BV155" s="38"/>
    </row>
    <row r="156" ht="18.75" customHeight="1">
      <c r="A156" s="23"/>
      <c r="B156" s="24" t="s">
        <v>247</v>
      </c>
      <c r="C156" s="24" t="s">
        <v>248</v>
      </c>
      <c r="D156" s="24" t="s">
        <v>252</v>
      </c>
      <c r="E156" s="26">
        <v>1.0</v>
      </c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6">
        <v>1.0</v>
      </c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>
        <f t="shared" si="14"/>
        <v>1</v>
      </c>
      <c r="AL156" s="29">
        <v>0.0</v>
      </c>
      <c r="AM156" s="27" t="s">
        <v>37</v>
      </c>
      <c r="AN156" s="39">
        <v>1.5440545E7</v>
      </c>
      <c r="AO156" s="36">
        <f t="shared" si="15"/>
        <v>15440545</v>
      </c>
      <c r="AP156" s="37" t="str">
        <f t="shared" si="16"/>
        <v>&lt;30 hari</v>
      </c>
      <c r="AQ156" s="34">
        <v>1.0</v>
      </c>
      <c r="AR156" s="33"/>
      <c r="AS156" s="33"/>
      <c r="AT156" s="33"/>
      <c r="AU156" s="33"/>
      <c r="AV156" s="33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  <c r="BQ156" s="38"/>
      <c r="BR156" s="38"/>
      <c r="BS156" s="38"/>
      <c r="BT156" s="38"/>
      <c r="BU156" s="38"/>
      <c r="BV156" s="38"/>
    </row>
    <row r="157" ht="18.75" customHeight="1">
      <c r="A157" s="23"/>
      <c r="B157" s="24" t="s">
        <v>247</v>
      </c>
      <c r="C157" s="24" t="s">
        <v>248</v>
      </c>
      <c r="D157" s="24" t="s">
        <v>253</v>
      </c>
      <c r="E157" s="26">
        <v>10.0</v>
      </c>
      <c r="F157" s="27"/>
      <c r="G157" s="27"/>
      <c r="H157" s="27"/>
      <c r="I157" s="27"/>
      <c r="J157" s="27"/>
      <c r="K157" s="27"/>
      <c r="L157" s="27"/>
      <c r="M157" s="27"/>
      <c r="N157" s="27"/>
      <c r="O157" s="26">
        <v>5.0</v>
      </c>
      <c r="P157" s="26">
        <v>5.0</v>
      </c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>
        <f t="shared" si="14"/>
        <v>10</v>
      </c>
      <c r="AL157" s="29">
        <v>0.0</v>
      </c>
      <c r="AM157" s="27" t="s">
        <v>37</v>
      </c>
      <c r="AN157" s="39">
        <v>1.1503416E7</v>
      </c>
      <c r="AO157" s="36">
        <f t="shared" si="15"/>
        <v>115034160</v>
      </c>
      <c r="AP157" s="37" t="str">
        <f t="shared" si="16"/>
        <v>&lt;30 hari; 30-60 hari</v>
      </c>
      <c r="AQ157" s="34">
        <v>5.0</v>
      </c>
      <c r="AR157" s="34">
        <v>5.0</v>
      </c>
      <c r="AS157" s="33"/>
      <c r="AT157" s="33"/>
      <c r="AU157" s="33"/>
      <c r="AV157" s="33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</row>
    <row r="158" ht="18.75" customHeight="1">
      <c r="A158" s="23"/>
      <c r="B158" s="24" t="s">
        <v>247</v>
      </c>
      <c r="C158" s="24" t="s">
        <v>248</v>
      </c>
      <c r="D158" s="24" t="s">
        <v>254</v>
      </c>
      <c r="E158" s="26">
        <v>10.0</v>
      </c>
      <c r="F158" s="27"/>
      <c r="G158" s="27"/>
      <c r="H158" s="27"/>
      <c r="I158" s="27"/>
      <c r="J158" s="27"/>
      <c r="K158" s="27"/>
      <c r="L158" s="27"/>
      <c r="M158" s="27"/>
      <c r="N158" s="27"/>
      <c r="O158" s="26">
        <v>5.0</v>
      </c>
      <c r="P158" s="26">
        <v>5.0</v>
      </c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>
        <f t="shared" si="14"/>
        <v>10</v>
      </c>
      <c r="AL158" s="29">
        <v>0.0</v>
      </c>
      <c r="AM158" s="27" t="s">
        <v>37</v>
      </c>
      <c r="AN158" s="39">
        <v>1.134748E7</v>
      </c>
      <c r="AO158" s="36">
        <f t="shared" si="15"/>
        <v>113474800</v>
      </c>
      <c r="AP158" s="37" t="str">
        <f t="shared" si="16"/>
        <v>&lt;30 hari; 30-60 hari</v>
      </c>
      <c r="AQ158" s="34">
        <v>6.0</v>
      </c>
      <c r="AR158" s="34">
        <v>4.0</v>
      </c>
      <c r="AS158" s="33"/>
      <c r="AT158" s="33"/>
      <c r="AU158" s="33"/>
      <c r="AV158" s="33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</row>
    <row r="159" ht="18.75" customHeight="1">
      <c r="A159" s="23"/>
      <c r="B159" s="24" t="s">
        <v>247</v>
      </c>
      <c r="C159" s="24" t="s">
        <v>248</v>
      </c>
      <c r="D159" s="24" t="s">
        <v>255</v>
      </c>
      <c r="E159" s="26">
        <v>10.0</v>
      </c>
      <c r="F159" s="27"/>
      <c r="G159" s="27"/>
      <c r="H159" s="27"/>
      <c r="I159" s="27"/>
      <c r="J159" s="27"/>
      <c r="K159" s="27"/>
      <c r="L159" s="27"/>
      <c r="M159" s="27"/>
      <c r="N159" s="27"/>
      <c r="O159" s="26">
        <v>5.0</v>
      </c>
      <c r="P159" s="26">
        <v>5.0</v>
      </c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>
        <f t="shared" si="14"/>
        <v>10</v>
      </c>
      <c r="AL159" s="29">
        <v>0.0</v>
      </c>
      <c r="AM159" s="27" t="s">
        <v>37</v>
      </c>
      <c r="AN159" s="39">
        <v>1.1254401E7</v>
      </c>
      <c r="AO159" s="36">
        <f t="shared" si="15"/>
        <v>112544010</v>
      </c>
      <c r="AP159" s="37" t="str">
        <f t="shared" si="16"/>
        <v>&lt;30 hari; 30-60 hari</v>
      </c>
      <c r="AQ159" s="34">
        <v>4.0</v>
      </c>
      <c r="AR159" s="34">
        <v>6.0</v>
      </c>
      <c r="AS159" s="33"/>
      <c r="AT159" s="33"/>
      <c r="AU159" s="33"/>
      <c r="AV159" s="33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8"/>
      <c r="BS159" s="38"/>
      <c r="BT159" s="38"/>
      <c r="BU159" s="38"/>
      <c r="BV159" s="38"/>
    </row>
    <row r="160" ht="18.75" customHeight="1">
      <c r="A160" s="23"/>
      <c r="B160" s="24" t="s">
        <v>247</v>
      </c>
      <c r="C160" s="24" t="s">
        <v>248</v>
      </c>
      <c r="D160" s="24" t="s">
        <v>256</v>
      </c>
      <c r="E160" s="26">
        <v>10.0</v>
      </c>
      <c r="F160" s="27"/>
      <c r="G160" s="27"/>
      <c r="H160" s="27"/>
      <c r="I160" s="27"/>
      <c r="J160" s="27"/>
      <c r="K160" s="27"/>
      <c r="L160" s="27"/>
      <c r="M160" s="27"/>
      <c r="N160" s="27"/>
      <c r="O160" s="26">
        <v>5.0</v>
      </c>
      <c r="P160" s="26">
        <v>5.0</v>
      </c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>
        <f t="shared" si="14"/>
        <v>10</v>
      </c>
      <c r="AL160" s="29">
        <v>0.0</v>
      </c>
      <c r="AM160" s="27" t="s">
        <v>37</v>
      </c>
      <c r="AN160" s="39">
        <v>1.1410474E7</v>
      </c>
      <c r="AO160" s="36">
        <f t="shared" si="15"/>
        <v>114104740</v>
      </c>
      <c r="AP160" s="37" t="str">
        <f t="shared" si="16"/>
        <v>&lt;30 hari; 30-60 hari</v>
      </c>
      <c r="AQ160" s="34">
        <v>7.0</v>
      </c>
      <c r="AR160" s="34">
        <v>3.0</v>
      </c>
      <c r="AS160" s="33"/>
      <c r="AT160" s="33"/>
      <c r="AU160" s="33"/>
      <c r="AV160" s="33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  <c r="BS160" s="38"/>
      <c r="BT160" s="38"/>
      <c r="BU160" s="38"/>
      <c r="BV160" s="38"/>
    </row>
    <row r="161" ht="18.75" customHeight="1">
      <c r="A161" s="23"/>
      <c r="B161" s="24" t="s">
        <v>247</v>
      </c>
      <c r="C161" s="24" t="s">
        <v>248</v>
      </c>
      <c r="D161" s="24" t="s">
        <v>257</v>
      </c>
      <c r="E161" s="26">
        <v>1.0</v>
      </c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6">
        <v>1.0</v>
      </c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>
        <f t="shared" si="14"/>
        <v>1</v>
      </c>
      <c r="AL161" s="29">
        <v>0.0</v>
      </c>
      <c r="AM161" s="27" t="s">
        <v>37</v>
      </c>
      <c r="AN161" s="39">
        <v>1.5743985E7</v>
      </c>
      <c r="AO161" s="36">
        <f t="shared" si="15"/>
        <v>15743985</v>
      </c>
      <c r="AP161" s="37" t="str">
        <f t="shared" si="16"/>
        <v>&lt;30 hari</v>
      </c>
      <c r="AQ161" s="34">
        <v>1.0</v>
      </c>
      <c r="AR161" s="33"/>
      <c r="AS161" s="33"/>
      <c r="AT161" s="33"/>
      <c r="AU161" s="33"/>
      <c r="AV161" s="33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  <c r="BP161" s="38"/>
      <c r="BQ161" s="38"/>
      <c r="BR161" s="38"/>
      <c r="BS161" s="38"/>
      <c r="BT161" s="38"/>
      <c r="BU161" s="38"/>
      <c r="BV161" s="38"/>
    </row>
    <row r="162" ht="18.75" customHeight="1">
      <c r="A162" s="23"/>
      <c r="B162" s="24" t="s">
        <v>247</v>
      </c>
      <c r="C162" s="24" t="s">
        <v>248</v>
      </c>
      <c r="D162" s="24" t="s">
        <v>258</v>
      </c>
      <c r="E162" s="26">
        <v>1.0</v>
      </c>
      <c r="F162" s="27"/>
      <c r="G162" s="27"/>
      <c r="H162" s="27"/>
      <c r="I162" s="27"/>
      <c r="J162" s="27"/>
      <c r="K162" s="27"/>
      <c r="L162" s="27"/>
      <c r="M162" s="27"/>
      <c r="N162" s="27"/>
      <c r="O162" s="26">
        <v>1.0</v>
      </c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>
        <f t="shared" si="14"/>
        <v>1</v>
      </c>
      <c r="AL162" s="29">
        <v>0.0</v>
      </c>
      <c r="AM162" s="27" t="s">
        <v>37</v>
      </c>
      <c r="AN162" s="39">
        <v>1.5604709E7</v>
      </c>
      <c r="AO162" s="36">
        <f t="shared" si="15"/>
        <v>15604709</v>
      </c>
      <c r="AP162" s="37" t="str">
        <f t="shared" si="16"/>
        <v>&lt;30 hari</v>
      </c>
      <c r="AQ162" s="34">
        <v>1.0</v>
      </c>
      <c r="AR162" s="33"/>
      <c r="AS162" s="33"/>
      <c r="AT162" s="33"/>
      <c r="AU162" s="33"/>
      <c r="AV162" s="33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  <c r="BP162" s="38"/>
      <c r="BQ162" s="38"/>
      <c r="BR162" s="38"/>
      <c r="BS162" s="38"/>
      <c r="BT162" s="38"/>
      <c r="BU162" s="38"/>
      <c r="BV162" s="38"/>
    </row>
    <row r="163" ht="18.75" customHeight="1">
      <c r="A163" s="23"/>
      <c r="B163" s="24" t="s">
        <v>247</v>
      </c>
      <c r="C163" s="24" t="s">
        <v>248</v>
      </c>
      <c r="D163" s="24" t="s">
        <v>259</v>
      </c>
      <c r="E163" s="26">
        <v>1.0</v>
      </c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6">
        <v>1.0</v>
      </c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>
        <f t="shared" si="14"/>
        <v>1</v>
      </c>
      <c r="AL163" s="29">
        <v>0.0</v>
      </c>
      <c r="AM163" s="27" t="s">
        <v>37</v>
      </c>
      <c r="AN163" s="39">
        <v>1.551163E7</v>
      </c>
      <c r="AO163" s="36">
        <f t="shared" si="15"/>
        <v>15511630</v>
      </c>
      <c r="AP163" s="37" t="str">
        <f t="shared" si="16"/>
        <v>&lt;30 hari</v>
      </c>
      <c r="AQ163" s="34">
        <v>1.0</v>
      </c>
      <c r="AR163" s="33"/>
      <c r="AS163" s="33"/>
      <c r="AT163" s="33"/>
      <c r="AU163" s="33"/>
      <c r="AV163" s="33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  <c r="BS163" s="38"/>
      <c r="BT163" s="38"/>
      <c r="BU163" s="38"/>
      <c r="BV163" s="38"/>
    </row>
    <row r="164" ht="18.75" customHeight="1">
      <c r="A164" s="23"/>
      <c r="B164" s="24" t="s">
        <v>247</v>
      </c>
      <c r="C164" s="24" t="s">
        <v>248</v>
      </c>
      <c r="D164" s="24" t="s">
        <v>260</v>
      </c>
      <c r="E164" s="26">
        <v>1.0</v>
      </c>
      <c r="F164" s="27"/>
      <c r="G164" s="27"/>
      <c r="H164" s="27"/>
      <c r="I164" s="27"/>
      <c r="J164" s="27"/>
      <c r="K164" s="27"/>
      <c r="L164" s="27"/>
      <c r="M164" s="27"/>
      <c r="N164" s="27"/>
      <c r="O164" s="26">
        <v>1.0</v>
      </c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>
        <f t="shared" si="14"/>
        <v>1</v>
      </c>
      <c r="AL164" s="29">
        <v>0.0</v>
      </c>
      <c r="AM164" s="27" t="s">
        <v>37</v>
      </c>
      <c r="AN164" s="39">
        <v>1.5650906E7</v>
      </c>
      <c r="AO164" s="36">
        <f t="shared" si="15"/>
        <v>15650906</v>
      </c>
      <c r="AP164" s="37" t="str">
        <f t="shared" si="16"/>
        <v>&lt;30 hari</v>
      </c>
      <c r="AQ164" s="34">
        <v>1.0</v>
      </c>
      <c r="AR164" s="33"/>
      <c r="AS164" s="33"/>
      <c r="AT164" s="33"/>
      <c r="AU164" s="33"/>
      <c r="AV164" s="33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38"/>
      <c r="BS164" s="38"/>
      <c r="BT164" s="38"/>
      <c r="BU164" s="38"/>
      <c r="BV164" s="38"/>
    </row>
    <row r="165" ht="18.75" customHeight="1">
      <c r="A165" s="40"/>
      <c r="B165" s="24" t="s">
        <v>261</v>
      </c>
      <c r="C165" s="24" t="s">
        <v>262</v>
      </c>
      <c r="D165" s="24" t="s">
        <v>263</v>
      </c>
      <c r="E165" s="26">
        <v>7.0</v>
      </c>
      <c r="F165" s="27"/>
      <c r="G165" s="27"/>
      <c r="H165" s="27"/>
      <c r="I165" s="27"/>
      <c r="J165" s="27"/>
      <c r="K165" s="27"/>
      <c r="L165" s="27"/>
      <c r="M165" s="26">
        <v>2.0</v>
      </c>
      <c r="N165" s="26">
        <v>5.0</v>
      </c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>
        <f t="shared" si="14"/>
        <v>7</v>
      </c>
      <c r="AL165" s="29">
        <v>0.0</v>
      </c>
      <c r="AM165" s="27" t="s">
        <v>37</v>
      </c>
      <c r="AN165" s="39">
        <v>2.244786E7</v>
      </c>
      <c r="AO165" s="36">
        <f t="shared" si="15"/>
        <v>157135020</v>
      </c>
      <c r="AP165" s="37" t="str">
        <f t="shared" si="16"/>
        <v>&lt;30 hari; 30-60 hari; 60-90 hari; 90-180 hari</v>
      </c>
      <c r="AQ165" s="34">
        <v>2.0</v>
      </c>
      <c r="AR165" s="34">
        <v>2.0</v>
      </c>
      <c r="AS165" s="34">
        <v>2.0</v>
      </c>
      <c r="AT165" s="34">
        <v>1.0</v>
      </c>
      <c r="AU165" s="33"/>
      <c r="AV165" s="33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38"/>
      <c r="BS165" s="38"/>
      <c r="BT165" s="38"/>
      <c r="BU165" s="38"/>
      <c r="BV165" s="38"/>
    </row>
    <row r="166" ht="18.75" customHeight="1">
      <c r="A166" s="23"/>
      <c r="B166" s="24" t="s">
        <v>261</v>
      </c>
      <c r="C166" s="24" t="s">
        <v>262</v>
      </c>
      <c r="D166" s="24" t="s">
        <v>264</v>
      </c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>
        <f t="shared" si="14"/>
        <v>0</v>
      </c>
      <c r="AL166" s="29">
        <v>0.0</v>
      </c>
      <c r="AM166" s="27" t="s">
        <v>37</v>
      </c>
      <c r="AN166" s="39">
        <v>951136.0</v>
      </c>
      <c r="AO166" s="36">
        <f t="shared" si="15"/>
        <v>0</v>
      </c>
      <c r="AP166" s="37" t="str">
        <f t="shared" si="16"/>
        <v/>
      </c>
      <c r="AQ166" s="33"/>
      <c r="AR166" s="33"/>
      <c r="AS166" s="33"/>
      <c r="AT166" s="33"/>
      <c r="AU166" s="33"/>
      <c r="AV166" s="33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  <c r="BQ166" s="38"/>
      <c r="BR166" s="38"/>
      <c r="BS166" s="38"/>
      <c r="BT166" s="38"/>
      <c r="BU166" s="38"/>
      <c r="BV166" s="38"/>
    </row>
    <row r="167" ht="18.75" hidden="1" customHeight="1">
      <c r="A167" s="23"/>
      <c r="B167" s="24" t="s">
        <v>261</v>
      </c>
      <c r="C167" s="24" t="s">
        <v>262</v>
      </c>
      <c r="D167" s="24" t="s">
        <v>265</v>
      </c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>
        <f t="shared" si="14"/>
        <v>0</v>
      </c>
      <c r="AL167" s="29">
        <v>0.0</v>
      </c>
      <c r="AM167" s="27" t="s">
        <v>37</v>
      </c>
      <c r="AN167" s="39">
        <v>931112.0</v>
      </c>
      <c r="AO167" s="36">
        <f t="shared" si="15"/>
        <v>0</v>
      </c>
      <c r="AP167" s="37" t="str">
        <f t="shared" si="16"/>
        <v/>
      </c>
      <c r="AQ167" s="33"/>
      <c r="AR167" s="33"/>
      <c r="AS167" s="33"/>
      <c r="AT167" s="33"/>
      <c r="AU167" s="33"/>
      <c r="AV167" s="33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  <c r="BP167" s="38"/>
      <c r="BQ167" s="38"/>
      <c r="BR167" s="38"/>
      <c r="BS167" s="38"/>
      <c r="BT167" s="38"/>
      <c r="BU167" s="38"/>
      <c r="BV167" s="38"/>
    </row>
    <row r="168" ht="18.75" hidden="1" customHeight="1">
      <c r="A168" s="40"/>
      <c r="B168" s="24" t="s">
        <v>89</v>
      </c>
      <c r="C168" s="24" t="s">
        <v>266</v>
      </c>
      <c r="D168" s="24" t="s">
        <v>267</v>
      </c>
      <c r="E168" s="26">
        <v>8.0</v>
      </c>
      <c r="F168" s="27"/>
      <c r="G168" s="27"/>
      <c r="H168" s="27"/>
      <c r="I168" s="27"/>
      <c r="J168" s="27"/>
      <c r="K168" s="27"/>
      <c r="L168" s="27"/>
      <c r="M168" s="26">
        <v>5.0</v>
      </c>
      <c r="N168" s="26">
        <v>3.0</v>
      </c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>
        <f t="shared" si="14"/>
        <v>8</v>
      </c>
      <c r="AL168" s="29">
        <v>0.0</v>
      </c>
      <c r="AM168" s="27" t="s">
        <v>37</v>
      </c>
      <c r="AN168" s="39">
        <v>2.244786E7</v>
      </c>
      <c r="AO168" s="36">
        <f t="shared" si="15"/>
        <v>179582880</v>
      </c>
      <c r="AP168" s="37" t="str">
        <f t="shared" si="16"/>
        <v>&lt;30 hari; 30-60 hari; 60-90 hari; 90-180 hari</v>
      </c>
      <c r="AQ168" s="34">
        <v>2.0</v>
      </c>
      <c r="AR168" s="34">
        <v>2.0</v>
      </c>
      <c r="AS168" s="34">
        <v>2.0</v>
      </c>
      <c r="AT168" s="34">
        <v>2.0</v>
      </c>
      <c r="AU168" s="33"/>
      <c r="AV168" s="33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38"/>
      <c r="BS168" s="38"/>
      <c r="BT168" s="38"/>
      <c r="BU168" s="38"/>
      <c r="BV168" s="38"/>
    </row>
    <row r="169" ht="18.75" customHeight="1">
      <c r="A169" s="23"/>
      <c r="B169" s="24" t="s">
        <v>89</v>
      </c>
      <c r="C169" s="24" t="s">
        <v>266</v>
      </c>
      <c r="D169" s="24" t="s">
        <v>268</v>
      </c>
      <c r="E169" s="26">
        <v>1.0</v>
      </c>
      <c r="F169" s="27"/>
      <c r="G169" s="26">
        <v>1.0</v>
      </c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>
        <f t="shared" si="14"/>
        <v>1</v>
      </c>
      <c r="AL169" s="29">
        <v>0.0</v>
      </c>
      <c r="AM169" s="27" t="s">
        <v>37</v>
      </c>
      <c r="AN169" s="39">
        <v>951136.0</v>
      </c>
      <c r="AO169" s="36">
        <f t="shared" si="15"/>
        <v>951136</v>
      </c>
      <c r="AP169" s="37" t="str">
        <f t="shared" si="16"/>
        <v>&lt;30 hari</v>
      </c>
      <c r="AQ169" s="34">
        <v>1.0</v>
      </c>
      <c r="AR169" s="33"/>
      <c r="AS169" s="33"/>
      <c r="AT169" s="33"/>
      <c r="AU169" s="33"/>
      <c r="AV169" s="33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</row>
    <row r="170" ht="18.75" customHeight="1">
      <c r="A170" s="23"/>
      <c r="B170" s="24" t="s">
        <v>89</v>
      </c>
      <c r="C170" s="24" t="s">
        <v>266</v>
      </c>
      <c r="D170" s="24" t="s">
        <v>269</v>
      </c>
      <c r="E170" s="26">
        <v>1.0</v>
      </c>
      <c r="F170" s="27"/>
      <c r="G170" s="27"/>
      <c r="H170" s="26">
        <v>1.0</v>
      </c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>
        <f t="shared" si="14"/>
        <v>1</v>
      </c>
      <c r="AL170" s="29">
        <v>0.0</v>
      </c>
      <c r="AM170" s="27" t="s">
        <v>37</v>
      </c>
      <c r="AN170" s="39">
        <v>931112.0</v>
      </c>
      <c r="AO170" s="36">
        <f t="shared" si="15"/>
        <v>931112</v>
      </c>
      <c r="AP170" s="37" t="str">
        <f t="shared" si="16"/>
        <v>&lt;30 hari</v>
      </c>
      <c r="AQ170" s="34">
        <v>1.0</v>
      </c>
      <c r="AR170" s="33"/>
      <c r="AS170" s="33"/>
      <c r="AT170" s="33"/>
      <c r="AU170" s="33"/>
      <c r="AV170" s="33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  <c r="BQ170" s="38"/>
      <c r="BR170" s="38"/>
      <c r="BS170" s="38"/>
      <c r="BT170" s="38"/>
      <c r="BU170" s="38"/>
      <c r="BV170" s="38"/>
    </row>
    <row r="171" ht="18.75" customHeight="1">
      <c r="A171" s="40"/>
      <c r="B171" s="24" t="s">
        <v>270</v>
      </c>
      <c r="C171" s="24" t="s">
        <v>271</v>
      </c>
      <c r="D171" s="61" t="s">
        <v>272</v>
      </c>
      <c r="E171" s="62">
        <v>30.0</v>
      </c>
      <c r="F171" s="45"/>
      <c r="G171" s="45"/>
      <c r="H171" s="45"/>
      <c r="I171" s="45"/>
      <c r="J171" s="45"/>
      <c r="K171" s="45"/>
      <c r="L171" s="45"/>
      <c r="M171" s="45"/>
      <c r="N171" s="45"/>
      <c r="O171" s="62"/>
      <c r="P171" s="62">
        <v>30.0</v>
      </c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>
        <f t="shared" si="14"/>
        <v>30</v>
      </c>
      <c r="AL171" s="29">
        <v>0.0</v>
      </c>
      <c r="AM171" s="46" t="s">
        <v>96</v>
      </c>
      <c r="AN171" s="63">
        <v>960842.0</v>
      </c>
      <c r="AO171" s="36">
        <f t="shared" si="15"/>
        <v>28825260</v>
      </c>
      <c r="AP171" s="37" t="str">
        <f t="shared" si="16"/>
        <v>&gt;1 tahun</v>
      </c>
      <c r="AQ171" s="33"/>
      <c r="AR171" s="33"/>
      <c r="AS171" s="33"/>
      <c r="AT171" s="33"/>
      <c r="AU171" s="33"/>
      <c r="AV171" s="34">
        <v>30.0</v>
      </c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</row>
    <row r="172" ht="18.75" customHeight="1">
      <c r="A172" s="23"/>
      <c r="B172" s="24" t="s">
        <v>270</v>
      </c>
      <c r="C172" s="24" t="s">
        <v>271</v>
      </c>
      <c r="D172" s="61" t="s">
        <v>273</v>
      </c>
      <c r="E172" s="62">
        <v>66.0</v>
      </c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62">
        <v>66.0</v>
      </c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>
        <f t="shared" si="14"/>
        <v>66</v>
      </c>
      <c r="AL172" s="29">
        <v>0.0</v>
      </c>
      <c r="AM172" s="46" t="s">
        <v>96</v>
      </c>
      <c r="AN172" s="63">
        <v>1043356.0</v>
      </c>
      <c r="AO172" s="36">
        <f t="shared" si="15"/>
        <v>68861496</v>
      </c>
      <c r="AP172" s="37" t="str">
        <f t="shared" si="16"/>
        <v>&gt;1 tahun</v>
      </c>
      <c r="AQ172" s="33"/>
      <c r="AR172" s="33"/>
      <c r="AS172" s="33"/>
      <c r="AT172" s="33"/>
      <c r="AU172" s="33"/>
      <c r="AV172" s="34">
        <v>66.0</v>
      </c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</row>
    <row r="173" ht="18.75" customHeight="1">
      <c r="A173" s="23"/>
      <c r="B173" s="24" t="s">
        <v>270</v>
      </c>
      <c r="C173" s="24" t="s">
        <v>271</v>
      </c>
      <c r="D173" s="61" t="s">
        <v>274</v>
      </c>
      <c r="E173" s="62">
        <v>7.0</v>
      </c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62">
        <v>7.0</v>
      </c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>
        <f t="shared" si="14"/>
        <v>7</v>
      </c>
      <c r="AL173" s="29">
        <v>0.0</v>
      </c>
      <c r="AM173" s="46" t="s">
        <v>96</v>
      </c>
      <c r="AN173" s="63">
        <v>1689354.0</v>
      </c>
      <c r="AO173" s="36">
        <f t="shared" si="15"/>
        <v>11825478</v>
      </c>
      <c r="AP173" s="37" t="str">
        <f t="shared" si="16"/>
        <v>&gt;1 tahun</v>
      </c>
      <c r="AQ173" s="33"/>
      <c r="AR173" s="33"/>
      <c r="AS173" s="33"/>
      <c r="AT173" s="33"/>
      <c r="AU173" s="33"/>
      <c r="AV173" s="34">
        <v>7.0</v>
      </c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</row>
    <row r="174" ht="18.75" customHeight="1">
      <c r="A174" s="23"/>
      <c r="B174" s="24" t="s">
        <v>275</v>
      </c>
      <c r="C174" s="24" t="s">
        <v>276</v>
      </c>
      <c r="D174" s="52" t="s">
        <v>277</v>
      </c>
      <c r="E174" s="49"/>
      <c r="F174" s="50">
        <v>4.0</v>
      </c>
      <c r="G174" s="49"/>
      <c r="H174" s="49"/>
      <c r="I174" s="49"/>
      <c r="J174" s="49"/>
      <c r="K174" s="49"/>
      <c r="L174" s="49"/>
      <c r="M174" s="49"/>
      <c r="N174" s="49"/>
      <c r="O174" s="49"/>
      <c r="P174" s="50">
        <v>4.0</v>
      </c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>
        <f t="shared" si="14"/>
        <v>4</v>
      </c>
      <c r="AL174" s="29">
        <v>0.0</v>
      </c>
      <c r="AM174" s="49" t="s">
        <v>37</v>
      </c>
      <c r="AN174" s="51">
        <v>640898.0</v>
      </c>
      <c r="AO174" s="36">
        <f t="shared" si="15"/>
        <v>2563592</v>
      </c>
      <c r="AP174" s="37" t="str">
        <f t="shared" si="16"/>
        <v>&gt;1 tahun</v>
      </c>
      <c r="AQ174" s="33"/>
      <c r="AR174" s="33"/>
      <c r="AS174" s="33"/>
      <c r="AT174" s="33"/>
      <c r="AU174" s="33"/>
      <c r="AV174" s="34">
        <v>4.0</v>
      </c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</row>
    <row r="175" ht="18.75" customHeight="1">
      <c r="A175" s="23"/>
      <c r="B175" s="24" t="s">
        <v>275</v>
      </c>
      <c r="C175" s="24" t="s">
        <v>276</v>
      </c>
      <c r="D175" s="52" t="s">
        <v>278</v>
      </c>
      <c r="E175" s="49"/>
      <c r="F175" s="50">
        <v>2.0</v>
      </c>
      <c r="G175" s="49"/>
      <c r="H175" s="49"/>
      <c r="I175" s="49"/>
      <c r="J175" s="49"/>
      <c r="K175" s="49"/>
      <c r="L175" s="49"/>
      <c r="M175" s="49"/>
      <c r="N175" s="49"/>
      <c r="O175" s="49"/>
      <c r="P175" s="50">
        <v>2.0</v>
      </c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>
        <f t="shared" si="14"/>
        <v>2</v>
      </c>
      <c r="AL175" s="29">
        <v>0.0</v>
      </c>
      <c r="AM175" s="49" t="s">
        <v>37</v>
      </c>
      <c r="AN175" s="51">
        <v>636433.0</v>
      </c>
      <c r="AO175" s="36">
        <f t="shared" si="15"/>
        <v>1272866</v>
      </c>
      <c r="AP175" s="37" t="str">
        <f t="shared" si="16"/>
        <v>&gt;1 tahun</v>
      </c>
      <c r="AQ175" s="33"/>
      <c r="AR175" s="33"/>
      <c r="AS175" s="33"/>
      <c r="AT175" s="33"/>
      <c r="AU175" s="33"/>
      <c r="AV175" s="34">
        <v>2.0</v>
      </c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</row>
    <row r="176" ht="18.75" customHeight="1">
      <c r="A176" s="23"/>
      <c r="B176" s="24" t="s">
        <v>279</v>
      </c>
      <c r="C176" s="24" t="s">
        <v>280</v>
      </c>
      <c r="D176" s="52" t="s">
        <v>281</v>
      </c>
      <c r="E176" s="49"/>
      <c r="F176" s="50">
        <v>92.0</v>
      </c>
      <c r="G176" s="49"/>
      <c r="H176" s="49"/>
      <c r="I176" s="49"/>
      <c r="J176" s="49"/>
      <c r="K176" s="49"/>
      <c r="L176" s="49"/>
      <c r="M176" s="49"/>
      <c r="N176" s="49"/>
      <c r="O176" s="49"/>
      <c r="P176" s="50">
        <v>92.0</v>
      </c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>
        <f t="shared" si="14"/>
        <v>92</v>
      </c>
      <c r="AL176" s="29">
        <v>0.0</v>
      </c>
      <c r="AM176" s="49" t="s">
        <v>37</v>
      </c>
      <c r="AN176" s="51">
        <v>192244.0</v>
      </c>
      <c r="AO176" s="36">
        <f t="shared" si="15"/>
        <v>17686448</v>
      </c>
      <c r="AP176" s="37" t="str">
        <f t="shared" si="16"/>
        <v>&gt;1 tahun</v>
      </c>
      <c r="AQ176" s="33"/>
      <c r="AR176" s="33"/>
      <c r="AS176" s="33"/>
      <c r="AT176" s="33"/>
      <c r="AU176" s="33"/>
      <c r="AV176" s="34">
        <v>92.0</v>
      </c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</row>
    <row r="177" ht="18.75" customHeight="1">
      <c r="A177" s="23"/>
      <c r="B177" s="24"/>
      <c r="C177" s="24"/>
      <c r="D177" s="52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27"/>
      <c r="AL177" s="29">
        <v>0.0</v>
      </c>
      <c r="AM177" s="59"/>
      <c r="AN177" s="51"/>
      <c r="AO177" s="36"/>
      <c r="AP177" s="37"/>
      <c r="AQ177" s="33"/>
      <c r="AR177" s="33"/>
      <c r="AS177" s="33"/>
      <c r="AT177" s="33"/>
      <c r="AU177" s="33"/>
      <c r="AV177" s="33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</row>
    <row r="178" ht="18.75" customHeight="1">
      <c r="A178" s="40"/>
      <c r="B178" s="24" t="s">
        <v>282</v>
      </c>
      <c r="C178" s="24" t="s">
        <v>283</v>
      </c>
      <c r="D178" s="61" t="s">
        <v>284</v>
      </c>
      <c r="E178" s="62">
        <v>123.0</v>
      </c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62">
        <v>11.0</v>
      </c>
      <c r="S178" s="45"/>
      <c r="T178" s="45"/>
      <c r="U178" s="45"/>
      <c r="V178" s="45"/>
      <c r="W178" s="45"/>
      <c r="X178" s="45"/>
      <c r="Y178" s="45"/>
      <c r="Z178" s="45"/>
      <c r="AA178" s="62">
        <v>22.0</v>
      </c>
      <c r="AB178" s="62">
        <v>90.0</v>
      </c>
      <c r="AC178" s="45"/>
      <c r="AD178" s="45"/>
      <c r="AE178" s="45"/>
      <c r="AF178" s="45"/>
      <c r="AG178" s="45"/>
      <c r="AH178" s="45"/>
      <c r="AI178" s="45"/>
      <c r="AJ178" s="45"/>
      <c r="AK178" s="45">
        <f t="shared" ref="AK178:AK181" si="17">SUM(G178:AJ178)</f>
        <v>123</v>
      </c>
      <c r="AL178" s="29">
        <v>0.0</v>
      </c>
      <c r="AM178" s="46" t="s">
        <v>96</v>
      </c>
      <c r="AN178" s="63">
        <v>7269615.0</v>
      </c>
      <c r="AO178" s="36">
        <f t="shared" ref="AO178:AO181" si="18">AN178*AK178</f>
        <v>894162645</v>
      </c>
      <c r="AP178" s="37" t="str">
        <f t="shared" ref="AP178:AP181" si="19">TEXTJOIN("; ",TRUE,IF(AQ178&gt;0,"&lt;30 hari",""),IF(AR178&gt;0,"30-60 hari",""),IF(AS178&gt;0,"60-90 hari",""),IF(AT178&gt;0,"90-180 hari",""),IF(AU178&gt;0,"180-365 hari",""),IF(AV178&gt;0,"&gt;1 tahun",""))</f>
        <v>&gt;1 tahun</v>
      </c>
      <c r="AQ178" s="33"/>
      <c r="AR178" s="33"/>
      <c r="AS178" s="33"/>
      <c r="AT178" s="33"/>
      <c r="AU178" s="33"/>
      <c r="AV178" s="34">
        <v>123.0</v>
      </c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</row>
    <row r="179" ht="18.75" customHeight="1">
      <c r="A179" s="23"/>
      <c r="B179" s="24" t="s">
        <v>285</v>
      </c>
      <c r="C179" s="24" t="s">
        <v>286</v>
      </c>
      <c r="D179" s="48" t="s">
        <v>287</v>
      </c>
      <c r="E179" s="49"/>
      <c r="F179" s="50">
        <v>40.0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50">
        <v>40.0</v>
      </c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>
        <f t="shared" si="17"/>
        <v>40</v>
      </c>
      <c r="AL179" s="29">
        <v>0.0</v>
      </c>
      <c r="AM179" s="49" t="s">
        <v>37</v>
      </c>
      <c r="AN179" s="51">
        <v>2753171.0</v>
      </c>
      <c r="AO179" s="64">
        <f t="shared" si="18"/>
        <v>110126840</v>
      </c>
      <c r="AP179" s="37" t="str">
        <f t="shared" si="19"/>
        <v>&gt;1 tahun</v>
      </c>
      <c r="AQ179" s="33"/>
      <c r="AR179" s="33"/>
      <c r="AS179" s="33"/>
      <c r="AT179" s="33"/>
      <c r="AU179" s="33"/>
      <c r="AV179" s="34">
        <v>40.0</v>
      </c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</row>
    <row r="180" ht="18.75" customHeight="1">
      <c r="A180" s="23"/>
      <c r="B180" s="24" t="s">
        <v>288</v>
      </c>
      <c r="C180" s="24" t="s">
        <v>289</v>
      </c>
      <c r="D180" s="48" t="s">
        <v>290</v>
      </c>
      <c r="E180" s="49"/>
      <c r="F180" s="50">
        <v>6.0</v>
      </c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50">
        <v>6.0</v>
      </c>
      <c r="AB180" s="49"/>
      <c r="AC180" s="49"/>
      <c r="AD180" s="49"/>
      <c r="AE180" s="49"/>
      <c r="AF180" s="49"/>
      <c r="AG180" s="49"/>
      <c r="AH180" s="49"/>
      <c r="AI180" s="49"/>
      <c r="AJ180" s="49"/>
      <c r="AK180" s="49">
        <f t="shared" si="17"/>
        <v>6</v>
      </c>
      <c r="AL180" s="29">
        <v>0.0</v>
      </c>
      <c r="AM180" s="49" t="s">
        <v>37</v>
      </c>
      <c r="AN180" s="51">
        <v>4733925.0</v>
      </c>
      <c r="AO180" s="64">
        <f t="shared" si="18"/>
        <v>28403550</v>
      </c>
      <c r="AP180" s="37" t="str">
        <f t="shared" si="19"/>
        <v>&gt;1 tahun</v>
      </c>
      <c r="AQ180" s="33"/>
      <c r="AR180" s="33"/>
      <c r="AS180" s="33"/>
      <c r="AT180" s="33"/>
      <c r="AU180" s="33"/>
      <c r="AV180" s="34">
        <v>6.0</v>
      </c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</row>
    <row r="181" ht="18.75" customHeight="1">
      <c r="A181" s="23"/>
      <c r="B181" s="24" t="s">
        <v>291</v>
      </c>
      <c r="C181" s="24" t="s">
        <v>292</v>
      </c>
      <c r="D181" s="48" t="s">
        <v>293</v>
      </c>
      <c r="E181" s="49"/>
      <c r="F181" s="50">
        <v>5.0</v>
      </c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50">
        <v>5.0</v>
      </c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>
        <f t="shared" si="17"/>
        <v>5</v>
      </c>
      <c r="AL181" s="29">
        <v>0.0</v>
      </c>
      <c r="AM181" s="49" t="s">
        <v>37</v>
      </c>
      <c r="AN181" s="51">
        <v>5615551.0</v>
      </c>
      <c r="AO181" s="64">
        <f t="shared" si="18"/>
        <v>28077755</v>
      </c>
      <c r="AP181" s="37" t="str">
        <f t="shared" si="19"/>
        <v>&gt;1 tahun</v>
      </c>
      <c r="AQ181" s="33"/>
      <c r="AR181" s="33"/>
      <c r="AS181" s="33"/>
      <c r="AT181" s="33"/>
      <c r="AU181" s="33"/>
      <c r="AV181" s="34">
        <v>5.0</v>
      </c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  <c r="BS181" s="38"/>
      <c r="BT181" s="38"/>
      <c r="BU181" s="38"/>
      <c r="BV181" s="38"/>
    </row>
    <row r="182" ht="18.75" customHeight="1">
      <c r="A182" s="23"/>
      <c r="B182" s="24"/>
      <c r="C182" s="24"/>
      <c r="D182" s="24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9">
        <v>0.0</v>
      </c>
      <c r="AM182" s="33"/>
      <c r="AN182" s="39"/>
      <c r="AO182" s="36"/>
      <c r="AP182" s="37"/>
      <c r="AQ182" s="33"/>
      <c r="AR182" s="33"/>
      <c r="AS182" s="33"/>
      <c r="AT182" s="33"/>
      <c r="AU182" s="33"/>
      <c r="AV182" s="33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38"/>
      <c r="BS182" s="38"/>
      <c r="BT182" s="38"/>
      <c r="BU182" s="38"/>
      <c r="BV182" s="38"/>
    </row>
    <row r="183" ht="18.75" customHeight="1">
      <c r="A183" s="40"/>
      <c r="B183" s="24" t="s">
        <v>294</v>
      </c>
      <c r="C183" s="24" t="s">
        <v>295</v>
      </c>
      <c r="D183" s="24" t="s">
        <v>296</v>
      </c>
      <c r="E183" s="26">
        <v>31.0</v>
      </c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6">
        <v>10.0</v>
      </c>
      <c r="R183" s="26">
        <v>21.0</v>
      </c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>
        <f t="shared" ref="AK183:AK219" si="20">SUM(G183:AJ183)</f>
        <v>31</v>
      </c>
      <c r="AL183" s="29">
        <v>0.0</v>
      </c>
      <c r="AM183" s="27" t="s">
        <v>37</v>
      </c>
      <c r="AN183" s="39">
        <v>5450147.0</v>
      </c>
      <c r="AO183" s="36">
        <f t="shared" ref="AO183:AO219" si="21">AN183*AK183</f>
        <v>168954557</v>
      </c>
      <c r="AP183" s="37" t="str">
        <f t="shared" ref="AP183:AP219" si="22">TEXTJOIN("; ",TRUE,IF(AQ183&gt;0,"&lt;30 hari",""),IF(AR183&gt;0,"30-60 hari",""),IF(AS183&gt;0,"60-90 hari",""),IF(AT183&gt;0,"90-180 hari",""),IF(AU183&gt;0,"180-365 hari",""),IF(AV183&gt;0,"&gt;1 tahun",""))</f>
        <v>60-90 hari</v>
      </c>
      <c r="AQ183" s="33"/>
      <c r="AR183" s="33"/>
      <c r="AS183" s="34">
        <v>31.0</v>
      </c>
      <c r="AT183" s="33"/>
      <c r="AU183" s="33"/>
      <c r="AV183" s="33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  <c r="BS183" s="38"/>
      <c r="BT183" s="38"/>
      <c r="BU183" s="38"/>
      <c r="BV183" s="38"/>
    </row>
    <row r="184" ht="18.75" customHeight="1">
      <c r="A184" s="40"/>
      <c r="B184" s="24" t="s">
        <v>297</v>
      </c>
      <c r="C184" s="24" t="s">
        <v>298</v>
      </c>
      <c r="D184" s="24" t="s">
        <v>299</v>
      </c>
      <c r="E184" s="26">
        <v>54.0</v>
      </c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6">
        <v>54.0</v>
      </c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>
        <f t="shared" si="20"/>
        <v>54</v>
      </c>
      <c r="AL184" s="29">
        <v>0.0</v>
      </c>
      <c r="AM184" s="27" t="s">
        <v>37</v>
      </c>
      <c r="AN184" s="39">
        <v>1233132.0</v>
      </c>
      <c r="AO184" s="36">
        <f t="shared" si="21"/>
        <v>66589128</v>
      </c>
      <c r="AP184" s="37" t="str">
        <f t="shared" si="22"/>
        <v>60-90 hari; 90-180 hari</v>
      </c>
      <c r="AQ184" s="33"/>
      <c r="AR184" s="33"/>
      <c r="AS184" s="34">
        <v>20.0</v>
      </c>
      <c r="AT184" s="34">
        <v>34.0</v>
      </c>
      <c r="AU184" s="33"/>
      <c r="AV184" s="33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38"/>
      <c r="BS184" s="38"/>
      <c r="BT184" s="38"/>
      <c r="BU184" s="38"/>
      <c r="BV184" s="38"/>
    </row>
    <row r="185" ht="18.75" customHeight="1">
      <c r="A185" s="40"/>
      <c r="B185" s="24" t="s">
        <v>300</v>
      </c>
      <c r="C185" s="24" t="s">
        <v>301</v>
      </c>
      <c r="D185" s="24" t="s">
        <v>302</v>
      </c>
      <c r="E185" s="26">
        <v>24.0</v>
      </c>
      <c r="F185" s="27"/>
      <c r="G185" s="26">
        <v>24.0</v>
      </c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>
        <f t="shared" si="20"/>
        <v>24</v>
      </c>
      <c r="AL185" s="29">
        <v>0.0</v>
      </c>
      <c r="AM185" s="27" t="s">
        <v>37</v>
      </c>
      <c r="AN185" s="39">
        <v>39118.0</v>
      </c>
      <c r="AO185" s="36">
        <f t="shared" si="21"/>
        <v>938832</v>
      </c>
      <c r="AP185" s="37" t="str">
        <f t="shared" si="22"/>
        <v>90-180 hari</v>
      </c>
      <c r="AQ185" s="33"/>
      <c r="AR185" s="33"/>
      <c r="AS185" s="33"/>
      <c r="AT185" s="34">
        <v>24.0</v>
      </c>
      <c r="AU185" s="33"/>
      <c r="AV185" s="33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  <c r="BQ185" s="38"/>
      <c r="BR185" s="38"/>
      <c r="BS185" s="38"/>
      <c r="BT185" s="38"/>
      <c r="BU185" s="38"/>
      <c r="BV185" s="38"/>
    </row>
    <row r="186" ht="18.75" customHeight="1">
      <c r="A186" s="40"/>
      <c r="B186" s="24" t="s">
        <v>303</v>
      </c>
      <c r="C186" s="24" t="s">
        <v>304</v>
      </c>
      <c r="D186" s="41" t="s">
        <v>305</v>
      </c>
      <c r="E186" s="26">
        <v>320.0</v>
      </c>
      <c r="F186" s="27"/>
      <c r="G186" s="27"/>
      <c r="H186" s="27"/>
      <c r="I186" s="27"/>
      <c r="J186" s="27"/>
      <c r="K186" s="27"/>
      <c r="L186" s="27"/>
      <c r="M186" s="26">
        <v>5.0</v>
      </c>
      <c r="N186" s="26">
        <v>10.0</v>
      </c>
      <c r="O186" s="27"/>
      <c r="P186" s="27"/>
      <c r="Q186" s="26">
        <v>300.0</v>
      </c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>
        <f t="shared" si="20"/>
        <v>315</v>
      </c>
      <c r="AL186" s="29">
        <v>0.0</v>
      </c>
      <c r="AM186" s="27" t="s">
        <v>37</v>
      </c>
      <c r="AN186" s="39">
        <v>356875.0</v>
      </c>
      <c r="AO186" s="36">
        <f t="shared" si="21"/>
        <v>112415625</v>
      </c>
      <c r="AP186" s="37" t="str">
        <f t="shared" si="22"/>
        <v>&lt;30 hari</v>
      </c>
      <c r="AQ186" s="34">
        <v>320.0</v>
      </c>
      <c r="AR186" s="33"/>
      <c r="AS186" s="33"/>
      <c r="AT186" s="33"/>
      <c r="AU186" s="33"/>
      <c r="AV186" s="33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  <c r="BQ186" s="38"/>
      <c r="BR186" s="38"/>
      <c r="BS186" s="38"/>
      <c r="BT186" s="38"/>
      <c r="BU186" s="38"/>
      <c r="BV186" s="38"/>
    </row>
    <row r="187" ht="18.75" customHeight="1">
      <c r="A187" s="40"/>
      <c r="B187" s="24" t="s">
        <v>306</v>
      </c>
      <c r="C187" s="24" t="s">
        <v>307</v>
      </c>
      <c r="D187" s="24" t="s">
        <v>308</v>
      </c>
      <c r="E187" s="26">
        <v>249.0</v>
      </c>
      <c r="F187" s="27"/>
      <c r="G187" s="27"/>
      <c r="H187" s="27"/>
      <c r="I187" s="27"/>
      <c r="J187" s="27"/>
      <c r="K187" s="27"/>
      <c r="L187" s="27"/>
      <c r="M187" s="26">
        <v>100.0</v>
      </c>
      <c r="N187" s="26">
        <v>50.0</v>
      </c>
      <c r="O187" s="27"/>
      <c r="P187" s="27"/>
      <c r="Q187" s="26">
        <v>50.0</v>
      </c>
      <c r="R187" s="26">
        <v>49.0</v>
      </c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>
        <f t="shared" si="20"/>
        <v>249</v>
      </c>
      <c r="AL187" s="29">
        <v>0.0</v>
      </c>
      <c r="AM187" s="27" t="s">
        <v>37</v>
      </c>
      <c r="AN187" s="39">
        <v>788595.0</v>
      </c>
      <c r="AO187" s="36">
        <f t="shared" si="21"/>
        <v>196360155</v>
      </c>
      <c r="AP187" s="37" t="str">
        <f t="shared" si="22"/>
        <v>&lt;30 hari; 30-60 hari; 60-90 hari</v>
      </c>
      <c r="AQ187" s="34">
        <v>49.0</v>
      </c>
      <c r="AR187" s="34">
        <v>100.0</v>
      </c>
      <c r="AS187" s="34">
        <v>100.0</v>
      </c>
      <c r="AT187" s="33"/>
      <c r="AU187" s="33"/>
      <c r="AV187" s="33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</row>
    <row r="188" ht="18.75" customHeight="1">
      <c r="A188" s="40"/>
      <c r="B188" s="24" t="s">
        <v>309</v>
      </c>
      <c r="C188" s="24" t="s">
        <v>310</v>
      </c>
      <c r="D188" s="24" t="s">
        <v>311</v>
      </c>
      <c r="E188" s="26">
        <v>6.0</v>
      </c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6">
        <v>6.0</v>
      </c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>
        <f t="shared" si="20"/>
        <v>6</v>
      </c>
      <c r="AL188" s="29">
        <v>0.0</v>
      </c>
      <c r="AM188" s="27" t="s">
        <v>37</v>
      </c>
      <c r="AN188" s="39">
        <v>9982435.0</v>
      </c>
      <c r="AO188" s="36">
        <f t="shared" si="21"/>
        <v>59894610</v>
      </c>
      <c r="AP188" s="37" t="str">
        <f t="shared" si="22"/>
        <v>90-180 hari</v>
      </c>
      <c r="AQ188" s="33"/>
      <c r="AR188" s="33"/>
      <c r="AS188" s="33"/>
      <c r="AT188" s="34">
        <v>6.0</v>
      </c>
      <c r="AU188" s="33"/>
      <c r="AV188" s="33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</row>
    <row r="189" ht="18.75" customHeight="1">
      <c r="A189" s="40"/>
      <c r="B189" s="24" t="s">
        <v>312</v>
      </c>
      <c r="C189" s="24" t="s">
        <v>313</v>
      </c>
      <c r="D189" s="24" t="s">
        <v>314</v>
      </c>
      <c r="E189" s="26">
        <v>320.0</v>
      </c>
      <c r="F189" s="27"/>
      <c r="G189" s="27"/>
      <c r="H189" s="27"/>
      <c r="I189" s="27"/>
      <c r="J189" s="27"/>
      <c r="K189" s="27"/>
      <c r="L189" s="27"/>
      <c r="M189" s="26">
        <v>20.0</v>
      </c>
      <c r="N189" s="27"/>
      <c r="O189" s="27"/>
      <c r="P189" s="27"/>
      <c r="Q189" s="26">
        <v>300.0</v>
      </c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>
        <f t="shared" si="20"/>
        <v>320</v>
      </c>
      <c r="AL189" s="29">
        <v>0.0</v>
      </c>
      <c r="AM189" s="27" t="s">
        <v>37</v>
      </c>
      <c r="AN189" s="39">
        <v>356875.0</v>
      </c>
      <c r="AO189" s="36">
        <f t="shared" si="21"/>
        <v>114200000</v>
      </c>
      <c r="AP189" s="37" t="str">
        <f t="shared" si="22"/>
        <v>&lt;30 hari</v>
      </c>
      <c r="AQ189" s="34">
        <v>320.0</v>
      </c>
      <c r="AR189" s="33"/>
      <c r="AS189" s="33"/>
      <c r="AT189" s="33"/>
      <c r="AU189" s="33"/>
      <c r="AV189" s="33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38"/>
      <c r="BS189" s="38"/>
      <c r="BT189" s="38"/>
      <c r="BU189" s="38"/>
      <c r="BV189" s="38"/>
    </row>
    <row r="190" ht="18.75" customHeight="1">
      <c r="A190" s="23"/>
      <c r="B190" s="24" t="s">
        <v>312</v>
      </c>
      <c r="C190" s="24" t="s">
        <v>313</v>
      </c>
      <c r="D190" s="24" t="s">
        <v>315</v>
      </c>
      <c r="E190" s="26">
        <v>277.0</v>
      </c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6">
        <v>277.0</v>
      </c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>
        <f t="shared" si="20"/>
        <v>277</v>
      </c>
      <c r="AL190" s="29">
        <v>0.0</v>
      </c>
      <c r="AM190" s="27" t="s">
        <v>37</v>
      </c>
      <c r="AN190" s="39">
        <v>492538.0</v>
      </c>
      <c r="AO190" s="36">
        <f t="shared" si="21"/>
        <v>136433026</v>
      </c>
      <c r="AP190" s="37" t="str">
        <f t="shared" si="22"/>
        <v>&lt;30 hari; 30-60 hari</v>
      </c>
      <c r="AQ190" s="34">
        <v>200.0</v>
      </c>
      <c r="AR190" s="34">
        <v>77.0</v>
      </c>
      <c r="AS190" s="33"/>
      <c r="AT190" s="33"/>
      <c r="AU190" s="33"/>
      <c r="AV190" s="33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  <c r="BP190" s="38"/>
      <c r="BQ190" s="38"/>
      <c r="BR190" s="38"/>
      <c r="BS190" s="38"/>
      <c r="BT190" s="38"/>
      <c r="BU190" s="38"/>
      <c r="BV190" s="38"/>
    </row>
    <row r="191" ht="18.75" customHeight="1">
      <c r="A191" s="40"/>
      <c r="B191" s="24" t="s">
        <v>316</v>
      </c>
      <c r="C191" s="24" t="s">
        <v>317</v>
      </c>
      <c r="D191" s="24" t="s">
        <v>315</v>
      </c>
      <c r="E191" s="26">
        <v>276.0</v>
      </c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6">
        <v>276.0</v>
      </c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>
        <f t="shared" si="20"/>
        <v>276</v>
      </c>
      <c r="AL191" s="29">
        <v>0.0</v>
      </c>
      <c r="AM191" s="27" t="s">
        <v>37</v>
      </c>
      <c r="AN191" s="39">
        <v>492538.0</v>
      </c>
      <c r="AO191" s="36">
        <f t="shared" si="21"/>
        <v>135940488</v>
      </c>
      <c r="AP191" s="37" t="str">
        <f t="shared" si="22"/>
        <v>&lt;30 hari; 30-60 hari</v>
      </c>
      <c r="AQ191" s="34">
        <v>250.0</v>
      </c>
      <c r="AR191" s="34">
        <v>26.0</v>
      </c>
      <c r="AS191" s="33"/>
      <c r="AT191" s="33"/>
      <c r="AU191" s="33"/>
      <c r="AV191" s="33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38"/>
      <c r="BS191" s="38"/>
      <c r="BT191" s="38"/>
      <c r="BU191" s="38"/>
      <c r="BV191" s="38"/>
    </row>
    <row r="192" ht="18.75" customHeight="1">
      <c r="A192" s="23"/>
      <c r="B192" s="24" t="s">
        <v>316</v>
      </c>
      <c r="C192" s="24" t="s">
        <v>317</v>
      </c>
      <c r="D192" s="24" t="s">
        <v>318</v>
      </c>
      <c r="E192" s="26">
        <v>2014.0</v>
      </c>
      <c r="F192" s="27"/>
      <c r="G192" s="26">
        <v>2014.0</v>
      </c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>
        <f t="shared" si="20"/>
        <v>2014</v>
      </c>
      <c r="AL192" s="29">
        <v>0.0</v>
      </c>
      <c r="AM192" s="27" t="s">
        <v>37</v>
      </c>
      <c r="AN192" s="39">
        <v>83610.0</v>
      </c>
      <c r="AO192" s="36">
        <f t="shared" si="21"/>
        <v>168390540</v>
      </c>
      <c r="AP192" s="37" t="str">
        <f t="shared" si="22"/>
        <v>&lt;30 hari; 30-60 hari</v>
      </c>
      <c r="AQ192" s="34">
        <v>1500.0</v>
      </c>
      <c r="AR192" s="34">
        <v>514.0</v>
      </c>
      <c r="AS192" s="33"/>
      <c r="AT192" s="33"/>
      <c r="AU192" s="33"/>
      <c r="AV192" s="33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38"/>
      <c r="BS192" s="38"/>
      <c r="BT192" s="38"/>
      <c r="BU192" s="38"/>
      <c r="BV192" s="38"/>
    </row>
    <row r="193" ht="18.75" customHeight="1">
      <c r="A193" s="40"/>
      <c r="B193" s="24" t="s">
        <v>319</v>
      </c>
      <c r="C193" s="24" t="s">
        <v>320</v>
      </c>
      <c r="D193" s="24" t="s">
        <v>314</v>
      </c>
      <c r="E193" s="26">
        <v>317.0</v>
      </c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6">
        <v>317.0</v>
      </c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>
        <f t="shared" si="20"/>
        <v>317</v>
      </c>
      <c r="AL193" s="29">
        <v>0.0</v>
      </c>
      <c r="AM193" s="27" t="s">
        <v>37</v>
      </c>
      <c r="AN193" s="39">
        <v>356875.0</v>
      </c>
      <c r="AO193" s="36">
        <f t="shared" si="21"/>
        <v>113129375</v>
      </c>
      <c r="AP193" s="37" t="str">
        <f t="shared" si="22"/>
        <v>&lt;30 hari; 30-60 hari</v>
      </c>
      <c r="AQ193" s="34">
        <v>150.0</v>
      </c>
      <c r="AR193" s="34">
        <v>167.0</v>
      </c>
      <c r="AS193" s="33"/>
      <c r="AT193" s="33"/>
      <c r="AU193" s="33"/>
      <c r="AV193" s="33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</row>
    <row r="194" ht="18.75" customHeight="1">
      <c r="A194" s="23"/>
      <c r="B194" s="24" t="s">
        <v>319</v>
      </c>
      <c r="C194" s="24" t="s">
        <v>320</v>
      </c>
      <c r="D194" s="24" t="s">
        <v>315</v>
      </c>
      <c r="E194" s="26">
        <v>276.0</v>
      </c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6">
        <v>276.0</v>
      </c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>
        <f t="shared" si="20"/>
        <v>276</v>
      </c>
      <c r="AL194" s="29">
        <v>0.0</v>
      </c>
      <c r="AM194" s="27" t="s">
        <v>37</v>
      </c>
      <c r="AN194" s="39">
        <v>492538.0</v>
      </c>
      <c r="AO194" s="36">
        <f t="shared" si="21"/>
        <v>135940488</v>
      </c>
      <c r="AP194" s="37" t="str">
        <f t="shared" si="22"/>
        <v>&lt;30 hari</v>
      </c>
      <c r="AQ194" s="34">
        <v>276.0</v>
      </c>
      <c r="AR194" s="33"/>
      <c r="AS194" s="33"/>
      <c r="AT194" s="33"/>
      <c r="AU194" s="33"/>
      <c r="AV194" s="33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</row>
    <row r="195" ht="18.75" customHeight="1">
      <c r="A195" s="23"/>
      <c r="B195" s="24" t="s">
        <v>319</v>
      </c>
      <c r="C195" s="24" t="s">
        <v>320</v>
      </c>
      <c r="D195" s="65" t="s">
        <v>318</v>
      </c>
      <c r="E195" s="26">
        <v>1900.0</v>
      </c>
      <c r="F195" s="27"/>
      <c r="G195" s="26">
        <v>1000.0</v>
      </c>
      <c r="H195" s="27"/>
      <c r="I195" s="26">
        <v>900.0</v>
      </c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>
        <f t="shared" si="20"/>
        <v>1900</v>
      </c>
      <c r="AL195" s="29">
        <v>0.0</v>
      </c>
      <c r="AM195" s="27" t="s">
        <v>37</v>
      </c>
      <c r="AN195" s="39">
        <v>83610.0</v>
      </c>
      <c r="AO195" s="36">
        <f t="shared" si="21"/>
        <v>158859000</v>
      </c>
      <c r="AP195" s="37" t="str">
        <f t="shared" si="22"/>
        <v>&lt;30 hari; 30-60 hari</v>
      </c>
      <c r="AQ195" s="34">
        <v>1500.0</v>
      </c>
      <c r="AR195" s="34">
        <v>400.0</v>
      </c>
      <c r="AS195" s="33"/>
      <c r="AT195" s="33"/>
      <c r="AU195" s="33"/>
      <c r="AV195" s="33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</row>
    <row r="196" ht="18.75" customHeight="1">
      <c r="A196" s="40"/>
      <c r="B196" s="24" t="s">
        <v>319</v>
      </c>
      <c r="C196" s="24" t="s">
        <v>321</v>
      </c>
      <c r="D196" s="24" t="s">
        <v>314</v>
      </c>
      <c r="E196" s="26">
        <v>320.0</v>
      </c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6">
        <v>320.0</v>
      </c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>
        <f t="shared" si="20"/>
        <v>320</v>
      </c>
      <c r="AL196" s="29">
        <v>0.0</v>
      </c>
      <c r="AM196" s="27" t="s">
        <v>37</v>
      </c>
      <c r="AN196" s="39">
        <v>356875.0</v>
      </c>
      <c r="AO196" s="36">
        <f t="shared" si="21"/>
        <v>114200000</v>
      </c>
      <c r="AP196" s="37" t="str">
        <f t="shared" si="22"/>
        <v>&lt;30 hari; 30-60 hari</v>
      </c>
      <c r="AQ196" s="34">
        <v>250.0</v>
      </c>
      <c r="AR196" s="34">
        <v>70.0</v>
      </c>
      <c r="AS196" s="33"/>
      <c r="AT196" s="33"/>
      <c r="AU196" s="33"/>
      <c r="AV196" s="33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</row>
    <row r="197" ht="18.75" customHeight="1">
      <c r="A197" s="23"/>
      <c r="B197" s="24" t="s">
        <v>322</v>
      </c>
      <c r="C197" s="24" t="s">
        <v>323</v>
      </c>
      <c r="D197" s="48" t="s">
        <v>324</v>
      </c>
      <c r="E197" s="49"/>
      <c r="F197" s="49">
        <f>128</f>
        <v>128</v>
      </c>
      <c r="G197" s="27"/>
      <c r="H197" s="49"/>
      <c r="I197" s="50">
        <v>100.0</v>
      </c>
      <c r="J197" s="50">
        <v>28.0</v>
      </c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>
        <f t="shared" si="20"/>
        <v>128</v>
      </c>
      <c r="AL197" s="29">
        <v>0.0</v>
      </c>
      <c r="AM197" s="49" t="s">
        <v>37</v>
      </c>
      <c r="AN197" s="51">
        <v>138324.0</v>
      </c>
      <c r="AO197" s="36">
        <f t="shared" si="21"/>
        <v>17705472</v>
      </c>
      <c r="AP197" s="37" t="str">
        <f t="shared" si="22"/>
        <v>&gt;1 tahun</v>
      </c>
      <c r="AQ197" s="33"/>
      <c r="AR197" s="33"/>
      <c r="AS197" s="33"/>
      <c r="AT197" s="33"/>
      <c r="AU197" s="33"/>
      <c r="AV197" s="34">
        <v>128.0</v>
      </c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</row>
    <row r="198" ht="18.75" customHeight="1">
      <c r="A198" s="23"/>
      <c r="B198" s="24" t="s">
        <v>322</v>
      </c>
      <c r="C198" s="24" t="s">
        <v>323</v>
      </c>
      <c r="D198" s="66" t="s">
        <v>325</v>
      </c>
      <c r="E198" s="67"/>
      <c r="F198" s="50">
        <v>2.0</v>
      </c>
      <c r="G198" s="27"/>
      <c r="H198" s="67"/>
      <c r="I198" s="68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50">
        <v>2.0</v>
      </c>
      <c r="AI198" s="49"/>
      <c r="AJ198" s="49"/>
      <c r="AK198" s="49">
        <f t="shared" si="20"/>
        <v>2</v>
      </c>
      <c r="AL198" s="29">
        <v>0.0</v>
      </c>
      <c r="AM198" s="49" t="s">
        <v>37</v>
      </c>
      <c r="AN198" s="51">
        <v>3.6498679E7</v>
      </c>
      <c r="AO198" s="36">
        <f t="shared" si="21"/>
        <v>72997358</v>
      </c>
      <c r="AP198" s="37" t="str">
        <f t="shared" si="22"/>
        <v>&gt;1 tahun</v>
      </c>
      <c r="AQ198" s="33"/>
      <c r="AR198" s="33"/>
      <c r="AS198" s="33"/>
      <c r="AT198" s="33"/>
      <c r="AU198" s="33"/>
      <c r="AV198" s="34">
        <v>2.0</v>
      </c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</row>
    <row r="199" ht="18.75" customHeight="1">
      <c r="A199" s="23"/>
      <c r="B199" s="24" t="s">
        <v>326</v>
      </c>
      <c r="C199" s="24" t="s">
        <v>327</v>
      </c>
      <c r="D199" s="52" t="s">
        <v>328</v>
      </c>
      <c r="E199" s="49"/>
      <c r="F199" s="50">
        <v>102.0</v>
      </c>
      <c r="G199" s="27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50">
        <v>102.0</v>
      </c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>
        <f t="shared" si="20"/>
        <v>102</v>
      </c>
      <c r="AL199" s="29">
        <v>0.0</v>
      </c>
      <c r="AM199" s="49" t="s">
        <v>37</v>
      </c>
      <c r="AN199" s="51">
        <v>241100.0</v>
      </c>
      <c r="AO199" s="64">
        <f t="shared" si="21"/>
        <v>24592200</v>
      </c>
      <c r="AP199" s="37" t="str">
        <f t="shared" si="22"/>
        <v>&gt;1 tahun</v>
      </c>
      <c r="AQ199" s="33"/>
      <c r="AR199" s="33"/>
      <c r="AS199" s="33"/>
      <c r="AT199" s="33"/>
      <c r="AU199" s="33"/>
      <c r="AV199" s="34">
        <v>102.0</v>
      </c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</row>
    <row r="200" ht="18.75" customHeight="1">
      <c r="A200" s="23"/>
      <c r="B200" s="24" t="s">
        <v>329</v>
      </c>
      <c r="C200" s="24" t="s">
        <v>330</v>
      </c>
      <c r="D200" s="52" t="s">
        <v>331</v>
      </c>
      <c r="E200" s="49"/>
      <c r="F200" s="50">
        <v>18.0</v>
      </c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50">
        <v>18.0</v>
      </c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>
        <f t="shared" si="20"/>
        <v>18</v>
      </c>
      <c r="AL200" s="29">
        <v>0.0</v>
      </c>
      <c r="AM200" s="49" t="s">
        <v>37</v>
      </c>
      <c r="AN200" s="51">
        <v>392172.0</v>
      </c>
      <c r="AO200" s="64">
        <f t="shared" si="21"/>
        <v>7059096</v>
      </c>
      <c r="AP200" s="37" t="str">
        <f t="shared" si="22"/>
        <v>&gt;1 tahun</v>
      </c>
      <c r="AQ200" s="33"/>
      <c r="AR200" s="33"/>
      <c r="AS200" s="33"/>
      <c r="AT200" s="33"/>
      <c r="AU200" s="33"/>
      <c r="AV200" s="34">
        <v>18.0</v>
      </c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</row>
    <row r="201" ht="18.75" customHeight="1">
      <c r="A201" s="23"/>
      <c r="B201" s="24" t="s">
        <v>329</v>
      </c>
      <c r="C201" s="24" t="s">
        <v>330</v>
      </c>
      <c r="D201" s="52" t="s">
        <v>332</v>
      </c>
      <c r="E201" s="49"/>
      <c r="F201" s="50">
        <v>61.0</v>
      </c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50">
        <v>61.0</v>
      </c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>
        <f t="shared" si="20"/>
        <v>61</v>
      </c>
      <c r="AL201" s="29">
        <v>0.0</v>
      </c>
      <c r="AM201" s="49" t="s">
        <v>37</v>
      </c>
      <c r="AN201" s="51">
        <v>77202.0</v>
      </c>
      <c r="AO201" s="64">
        <f t="shared" si="21"/>
        <v>4709322</v>
      </c>
      <c r="AP201" s="37" t="str">
        <f t="shared" si="22"/>
        <v>&gt;1 tahun</v>
      </c>
      <c r="AQ201" s="33"/>
      <c r="AR201" s="33"/>
      <c r="AS201" s="33"/>
      <c r="AT201" s="33"/>
      <c r="AU201" s="33"/>
      <c r="AV201" s="34">
        <v>61.0</v>
      </c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</row>
    <row r="202" ht="18.75" customHeight="1">
      <c r="A202" s="23"/>
      <c r="B202" s="24" t="s">
        <v>329</v>
      </c>
      <c r="C202" s="24" t="s">
        <v>333</v>
      </c>
      <c r="D202" s="52" t="s">
        <v>334</v>
      </c>
      <c r="E202" s="49"/>
      <c r="F202" s="50">
        <v>40.0</v>
      </c>
      <c r="G202" s="49"/>
      <c r="H202" s="49"/>
      <c r="I202" s="49"/>
      <c r="J202" s="49"/>
      <c r="K202" s="49"/>
      <c r="L202" s="49"/>
      <c r="M202" s="50">
        <v>20.0</v>
      </c>
      <c r="N202" s="49"/>
      <c r="O202" s="50">
        <v>20.0</v>
      </c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>
        <f t="shared" si="20"/>
        <v>40</v>
      </c>
      <c r="AL202" s="29">
        <v>0.0</v>
      </c>
      <c r="AM202" s="49" t="s">
        <v>37</v>
      </c>
      <c r="AN202" s="51">
        <v>759237.0</v>
      </c>
      <c r="AO202" s="64">
        <f t="shared" si="21"/>
        <v>30369480</v>
      </c>
      <c r="AP202" s="37" t="str">
        <f t="shared" si="22"/>
        <v>&gt;1 tahun</v>
      </c>
      <c r="AQ202" s="33"/>
      <c r="AR202" s="33"/>
      <c r="AS202" s="33"/>
      <c r="AT202" s="33"/>
      <c r="AU202" s="33"/>
      <c r="AV202" s="34">
        <v>40.0</v>
      </c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</row>
    <row r="203" ht="18.75" customHeight="1">
      <c r="A203" s="23"/>
      <c r="B203" s="24" t="s">
        <v>335</v>
      </c>
      <c r="C203" s="24" t="s">
        <v>336</v>
      </c>
      <c r="D203" s="48" t="s">
        <v>337</v>
      </c>
      <c r="E203" s="49"/>
      <c r="F203" s="50">
        <v>1.0</v>
      </c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50">
        <v>1.0</v>
      </c>
      <c r="AC203" s="49"/>
      <c r="AD203" s="49"/>
      <c r="AE203" s="49"/>
      <c r="AF203" s="49"/>
      <c r="AG203" s="49"/>
      <c r="AH203" s="49"/>
      <c r="AI203" s="49"/>
      <c r="AJ203" s="49"/>
      <c r="AK203" s="49">
        <f t="shared" si="20"/>
        <v>1</v>
      </c>
      <c r="AL203" s="29">
        <v>0.0</v>
      </c>
      <c r="AM203" s="49" t="s">
        <v>37</v>
      </c>
      <c r="AN203" s="51">
        <v>1055757.0</v>
      </c>
      <c r="AO203" s="64">
        <f t="shared" si="21"/>
        <v>1055757</v>
      </c>
      <c r="AP203" s="37" t="str">
        <f t="shared" si="22"/>
        <v>&gt;1 tahun</v>
      </c>
      <c r="AQ203" s="33"/>
      <c r="AR203" s="33"/>
      <c r="AS203" s="33"/>
      <c r="AT203" s="33"/>
      <c r="AU203" s="33"/>
      <c r="AV203" s="34">
        <v>1.0</v>
      </c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</row>
    <row r="204" ht="18.75" customHeight="1">
      <c r="A204" s="23"/>
      <c r="B204" s="24" t="s">
        <v>335</v>
      </c>
      <c r="C204" s="24" t="s">
        <v>336</v>
      </c>
      <c r="D204" s="52" t="s">
        <v>338</v>
      </c>
      <c r="E204" s="49"/>
      <c r="F204" s="50">
        <v>1.0</v>
      </c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50">
        <v>1.0</v>
      </c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>
        <f t="shared" si="20"/>
        <v>1</v>
      </c>
      <c r="AL204" s="29">
        <v>0.0</v>
      </c>
      <c r="AM204" s="49" t="s">
        <v>37</v>
      </c>
      <c r="AN204" s="51">
        <v>2872260.0</v>
      </c>
      <c r="AO204" s="64">
        <f t="shared" si="21"/>
        <v>2872260</v>
      </c>
      <c r="AP204" s="37" t="str">
        <f t="shared" si="22"/>
        <v>&gt;1 tahun</v>
      </c>
      <c r="AQ204" s="33"/>
      <c r="AR204" s="33"/>
      <c r="AS204" s="33"/>
      <c r="AT204" s="33"/>
      <c r="AU204" s="33"/>
      <c r="AV204" s="34">
        <v>1.0</v>
      </c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</row>
    <row r="205" ht="18.75" customHeight="1">
      <c r="A205" s="23"/>
      <c r="B205" s="24" t="s">
        <v>339</v>
      </c>
      <c r="C205" s="24" t="s">
        <v>340</v>
      </c>
      <c r="D205" s="52" t="s">
        <v>315</v>
      </c>
      <c r="E205" s="49"/>
      <c r="F205" s="50">
        <v>9.0</v>
      </c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50">
        <v>9.0</v>
      </c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>
        <f t="shared" si="20"/>
        <v>9</v>
      </c>
      <c r="AL205" s="29">
        <v>0.0</v>
      </c>
      <c r="AM205" s="49" t="s">
        <v>37</v>
      </c>
      <c r="AN205" s="51">
        <v>495036.0</v>
      </c>
      <c r="AO205" s="64">
        <f t="shared" si="21"/>
        <v>4455324</v>
      </c>
      <c r="AP205" s="37" t="str">
        <f t="shared" si="22"/>
        <v>&gt;1 tahun</v>
      </c>
      <c r="AQ205" s="33"/>
      <c r="AR205" s="33"/>
      <c r="AS205" s="33"/>
      <c r="AT205" s="33"/>
      <c r="AU205" s="33"/>
      <c r="AV205" s="34">
        <v>9.0</v>
      </c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  <c r="BT205" s="38"/>
      <c r="BU205" s="38"/>
      <c r="BV205" s="38"/>
    </row>
    <row r="206" ht="18.75" customHeight="1">
      <c r="A206" s="23"/>
      <c r="B206" s="24" t="s">
        <v>339</v>
      </c>
      <c r="C206" s="24" t="s">
        <v>340</v>
      </c>
      <c r="D206" s="52" t="s">
        <v>341</v>
      </c>
      <c r="E206" s="49"/>
      <c r="F206" s="50">
        <v>2.0</v>
      </c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50">
        <v>2.0</v>
      </c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>
        <f t="shared" si="20"/>
        <v>2</v>
      </c>
      <c r="AL206" s="29">
        <v>0.0</v>
      </c>
      <c r="AM206" s="49" t="s">
        <v>37</v>
      </c>
      <c r="AN206" s="51">
        <v>2370600.0</v>
      </c>
      <c r="AO206" s="64">
        <f t="shared" si="21"/>
        <v>4741200</v>
      </c>
      <c r="AP206" s="37" t="str">
        <f t="shared" si="22"/>
        <v>&gt;1 tahun</v>
      </c>
      <c r="AQ206" s="33"/>
      <c r="AR206" s="33"/>
      <c r="AS206" s="33"/>
      <c r="AT206" s="33"/>
      <c r="AU206" s="33"/>
      <c r="AV206" s="34">
        <v>2.0</v>
      </c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  <c r="BP206" s="38"/>
      <c r="BQ206" s="38"/>
      <c r="BR206" s="38"/>
      <c r="BS206" s="38"/>
      <c r="BT206" s="38"/>
      <c r="BU206" s="38"/>
      <c r="BV206" s="38"/>
    </row>
    <row r="207" ht="18.75" customHeight="1">
      <c r="A207" s="23"/>
      <c r="B207" s="24" t="s">
        <v>342</v>
      </c>
      <c r="C207" s="24" t="s">
        <v>343</v>
      </c>
      <c r="D207" s="52" t="s">
        <v>344</v>
      </c>
      <c r="E207" s="49"/>
      <c r="F207" s="50">
        <v>14.0</v>
      </c>
      <c r="G207" s="49"/>
      <c r="H207" s="49"/>
      <c r="I207" s="49"/>
      <c r="J207" s="49"/>
      <c r="K207" s="49"/>
      <c r="L207" s="49"/>
      <c r="M207" s="50">
        <v>4.0</v>
      </c>
      <c r="N207" s="49"/>
      <c r="O207" s="49"/>
      <c r="P207" s="49"/>
      <c r="Q207" s="50">
        <v>10.0</v>
      </c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>
        <f t="shared" si="20"/>
        <v>14</v>
      </c>
      <c r="AL207" s="29">
        <v>0.0</v>
      </c>
      <c r="AM207" s="49" t="s">
        <v>37</v>
      </c>
      <c r="AN207" s="51">
        <v>1338094.0</v>
      </c>
      <c r="AO207" s="64">
        <f t="shared" si="21"/>
        <v>18733316</v>
      </c>
      <c r="AP207" s="37" t="str">
        <f t="shared" si="22"/>
        <v>&gt;1 tahun</v>
      </c>
      <c r="AQ207" s="33"/>
      <c r="AR207" s="33"/>
      <c r="AS207" s="33"/>
      <c r="AT207" s="33"/>
      <c r="AU207" s="33"/>
      <c r="AV207" s="34">
        <v>14.0</v>
      </c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  <c r="BP207" s="38"/>
      <c r="BQ207" s="38"/>
      <c r="BR207" s="38"/>
      <c r="BS207" s="38"/>
      <c r="BT207" s="38"/>
      <c r="BU207" s="38"/>
      <c r="BV207" s="38"/>
    </row>
    <row r="208" ht="18.75" customHeight="1">
      <c r="A208" s="23"/>
      <c r="B208" s="24" t="s">
        <v>342</v>
      </c>
      <c r="C208" s="24" t="s">
        <v>343</v>
      </c>
      <c r="D208" s="52" t="s">
        <v>345</v>
      </c>
      <c r="E208" s="49"/>
      <c r="F208" s="50">
        <v>1.0</v>
      </c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50">
        <v>1.0</v>
      </c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>
        <f t="shared" si="20"/>
        <v>1</v>
      </c>
      <c r="AL208" s="29">
        <v>0.0</v>
      </c>
      <c r="AM208" s="49" t="s">
        <v>37</v>
      </c>
      <c r="AN208" s="51">
        <v>117024.0</v>
      </c>
      <c r="AO208" s="64">
        <f t="shared" si="21"/>
        <v>117024</v>
      </c>
      <c r="AP208" s="37" t="str">
        <f t="shared" si="22"/>
        <v>&gt;1 tahun</v>
      </c>
      <c r="AQ208" s="33"/>
      <c r="AR208" s="33"/>
      <c r="AS208" s="33"/>
      <c r="AT208" s="33"/>
      <c r="AU208" s="33"/>
      <c r="AV208" s="34">
        <v>1.0</v>
      </c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  <c r="BS208" s="38"/>
      <c r="BT208" s="38"/>
      <c r="BU208" s="38"/>
      <c r="BV208" s="38"/>
    </row>
    <row r="209" ht="18.75" customHeight="1">
      <c r="A209" s="23"/>
      <c r="B209" s="24" t="s">
        <v>342</v>
      </c>
      <c r="C209" s="24" t="s">
        <v>343</v>
      </c>
      <c r="D209" s="52" t="s">
        <v>346</v>
      </c>
      <c r="E209" s="49"/>
      <c r="F209" s="50">
        <v>3.0</v>
      </c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50">
        <v>3.0</v>
      </c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>
        <f t="shared" si="20"/>
        <v>3</v>
      </c>
      <c r="AL209" s="29">
        <v>0.0</v>
      </c>
      <c r="AM209" s="49" t="s">
        <v>37</v>
      </c>
      <c r="AN209" s="51">
        <v>346156.0</v>
      </c>
      <c r="AO209" s="64">
        <f t="shared" si="21"/>
        <v>1038468</v>
      </c>
      <c r="AP209" s="37" t="str">
        <f t="shared" si="22"/>
        <v>&gt;1 tahun</v>
      </c>
      <c r="AQ209" s="33"/>
      <c r="AR209" s="33"/>
      <c r="AS209" s="33"/>
      <c r="AT209" s="33"/>
      <c r="AU209" s="33"/>
      <c r="AV209" s="34">
        <v>3.0</v>
      </c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  <c r="BP209" s="38"/>
      <c r="BQ209" s="38"/>
      <c r="BR209" s="38"/>
      <c r="BS209" s="38"/>
      <c r="BT209" s="38"/>
      <c r="BU209" s="38"/>
      <c r="BV209" s="38"/>
    </row>
    <row r="210" ht="18.75" customHeight="1">
      <c r="A210" s="23"/>
      <c r="B210" s="24" t="s">
        <v>347</v>
      </c>
      <c r="C210" s="24" t="s">
        <v>348</v>
      </c>
      <c r="D210" s="52" t="s">
        <v>349</v>
      </c>
      <c r="E210" s="49"/>
      <c r="F210" s="50">
        <v>1.0</v>
      </c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50">
        <v>1.0</v>
      </c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>
        <f t="shared" si="20"/>
        <v>1</v>
      </c>
      <c r="AL210" s="29">
        <v>0.0</v>
      </c>
      <c r="AM210" s="49" t="s">
        <v>37</v>
      </c>
      <c r="AN210" s="51">
        <v>357041.0</v>
      </c>
      <c r="AO210" s="64">
        <f t="shared" si="21"/>
        <v>357041</v>
      </c>
      <c r="AP210" s="37" t="str">
        <f t="shared" si="22"/>
        <v>&gt;1 tahun</v>
      </c>
      <c r="AQ210" s="33"/>
      <c r="AR210" s="33"/>
      <c r="AS210" s="33"/>
      <c r="AT210" s="33"/>
      <c r="AU210" s="33"/>
      <c r="AV210" s="34">
        <v>1.0</v>
      </c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  <c r="BQ210" s="38"/>
      <c r="BR210" s="38"/>
      <c r="BS210" s="38"/>
      <c r="BT210" s="38"/>
      <c r="BU210" s="38"/>
      <c r="BV210" s="38"/>
    </row>
    <row r="211" ht="18.75" customHeight="1">
      <c r="A211" s="23"/>
      <c r="B211" s="24" t="s">
        <v>350</v>
      </c>
      <c r="C211" s="24" t="s">
        <v>351</v>
      </c>
      <c r="D211" s="52" t="s">
        <v>352</v>
      </c>
      <c r="E211" s="49"/>
      <c r="F211" s="50">
        <v>11.0</v>
      </c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50">
        <v>11.0</v>
      </c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>
        <f t="shared" si="20"/>
        <v>11</v>
      </c>
      <c r="AL211" s="29">
        <v>0.0</v>
      </c>
      <c r="AM211" s="49" t="s">
        <v>37</v>
      </c>
      <c r="AN211" s="51">
        <v>306383.0</v>
      </c>
      <c r="AO211" s="64">
        <f t="shared" si="21"/>
        <v>3370213</v>
      </c>
      <c r="AP211" s="37" t="str">
        <f t="shared" si="22"/>
        <v>&gt;1 tahun</v>
      </c>
      <c r="AQ211" s="33"/>
      <c r="AR211" s="33"/>
      <c r="AS211" s="33"/>
      <c r="AT211" s="33"/>
      <c r="AU211" s="33"/>
      <c r="AV211" s="34">
        <v>11.0</v>
      </c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  <c r="BP211" s="38"/>
      <c r="BQ211" s="38"/>
      <c r="BR211" s="38"/>
      <c r="BS211" s="38"/>
      <c r="BT211" s="38"/>
      <c r="BU211" s="38"/>
      <c r="BV211" s="38"/>
    </row>
    <row r="212" ht="18.75" customHeight="1">
      <c r="A212" s="23"/>
      <c r="B212" s="24" t="s">
        <v>350</v>
      </c>
      <c r="C212" s="24" t="s">
        <v>351</v>
      </c>
      <c r="D212" s="52" t="s">
        <v>353</v>
      </c>
      <c r="E212" s="49"/>
      <c r="F212" s="50">
        <v>5.0</v>
      </c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50">
        <v>5.0</v>
      </c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>
        <f t="shared" si="20"/>
        <v>5</v>
      </c>
      <c r="AL212" s="29">
        <v>0.0</v>
      </c>
      <c r="AM212" s="49" t="s">
        <v>37</v>
      </c>
      <c r="AN212" s="51">
        <v>364069.0</v>
      </c>
      <c r="AO212" s="64">
        <f t="shared" si="21"/>
        <v>1820345</v>
      </c>
      <c r="AP212" s="37" t="str">
        <f t="shared" si="22"/>
        <v>&gt;1 tahun</v>
      </c>
      <c r="AQ212" s="33"/>
      <c r="AR212" s="33"/>
      <c r="AS212" s="33"/>
      <c r="AT212" s="33"/>
      <c r="AU212" s="33"/>
      <c r="AV212" s="34">
        <v>5.0</v>
      </c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  <c r="BP212" s="38"/>
      <c r="BQ212" s="38"/>
      <c r="BR212" s="38"/>
      <c r="BS212" s="38"/>
      <c r="BT212" s="38"/>
      <c r="BU212" s="38"/>
      <c r="BV212" s="38"/>
    </row>
    <row r="213" ht="18.75" customHeight="1">
      <c r="A213" s="23"/>
      <c r="B213" s="24" t="s">
        <v>354</v>
      </c>
      <c r="C213" s="24" t="s">
        <v>355</v>
      </c>
      <c r="D213" s="52" t="s">
        <v>356</v>
      </c>
      <c r="E213" s="49"/>
      <c r="F213" s="50">
        <v>104.0</v>
      </c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50">
        <v>104.0</v>
      </c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>
        <f t="shared" si="20"/>
        <v>104</v>
      </c>
      <c r="AL213" s="29">
        <v>0.0</v>
      </c>
      <c r="AM213" s="49" t="s">
        <v>37</v>
      </c>
      <c r="AN213" s="51">
        <v>234368.0</v>
      </c>
      <c r="AO213" s="64">
        <f t="shared" si="21"/>
        <v>24374272</v>
      </c>
      <c r="AP213" s="37" t="str">
        <f t="shared" si="22"/>
        <v>&lt;30 hari</v>
      </c>
      <c r="AQ213" s="34">
        <v>104.0</v>
      </c>
      <c r="AR213" s="33"/>
      <c r="AS213" s="33"/>
      <c r="AT213" s="33"/>
      <c r="AU213" s="33"/>
      <c r="AV213" s="34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  <c r="BQ213" s="38"/>
      <c r="BR213" s="38"/>
      <c r="BS213" s="38"/>
      <c r="BT213" s="38"/>
      <c r="BU213" s="38"/>
      <c r="BV213" s="38"/>
    </row>
    <row r="214" ht="18.75" customHeight="1">
      <c r="A214" s="23"/>
      <c r="B214" s="24" t="s">
        <v>354</v>
      </c>
      <c r="C214" s="24" t="s">
        <v>355</v>
      </c>
      <c r="D214" s="52" t="s">
        <v>357</v>
      </c>
      <c r="E214" s="49"/>
      <c r="F214" s="50">
        <v>40.0</v>
      </c>
      <c r="G214" s="50">
        <v>20.0</v>
      </c>
      <c r="H214" s="50"/>
      <c r="I214" s="49"/>
      <c r="J214" s="50">
        <v>20.0</v>
      </c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>
        <f t="shared" si="20"/>
        <v>40</v>
      </c>
      <c r="AL214" s="29">
        <v>0.0</v>
      </c>
      <c r="AM214" s="49" t="s">
        <v>37</v>
      </c>
      <c r="AN214" s="51">
        <v>81782.0</v>
      </c>
      <c r="AO214" s="64">
        <f t="shared" si="21"/>
        <v>3271280</v>
      </c>
      <c r="AP214" s="37" t="str">
        <f t="shared" si="22"/>
        <v>&lt;30 hari</v>
      </c>
      <c r="AQ214" s="34">
        <v>40.0</v>
      </c>
      <c r="AR214" s="33"/>
      <c r="AS214" s="33"/>
      <c r="AT214" s="33"/>
      <c r="AU214" s="33"/>
      <c r="AV214" s="34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  <c r="BS214" s="38"/>
      <c r="BT214" s="38"/>
      <c r="BU214" s="38"/>
      <c r="BV214" s="38"/>
    </row>
    <row r="215" ht="18.75" customHeight="1">
      <c r="A215" s="23"/>
      <c r="B215" s="24" t="s">
        <v>354</v>
      </c>
      <c r="C215" s="24" t="s">
        <v>355</v>
      </c>
      <c r="D215" s="52" t="s">
        <v>358</v>
      </c>
      <c r="E215" s="49"/>
      <c r="F215" s="50">
        <v>60.0</v>
      </c>
      <c r="G215" s="50">
        <v>10.0</v>
      </c>
      <c r="H215" s="50">
        <v>20.0</v>
      </c>
      <c r="I215" s="49"/>
      <c r="J215" s="50">
        <v>30.0</v>
      </c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>
        <f t="shared" si="20"/>
        <v>60</v>
      </c>
      <c r="AL215" s="29">
        <v>0.0</v>
      </c>
      <c r="AM215" s="49" t="s">
        <v>37</v>
      </c>
      <c r="AN215" s="51">
        <v>50365.0</v>
      </c>
      <c r="AO215" s="64">
        <f t="shared" si="21"/>
        <v>3021900</v>
      </c>
      <c r="AP215" s="37" t="str">
        <f t="shared" si="22"/>
        <v>&lt;30 hari</v>
      </c>
      <c r="AQ215" s="34">
        <v>60.0</v>
      </c>
      <c r="AR215" s="33"/>
      <c r="AS215" s="33"/>
      <c r="AT215" s="33"/>
      <c r="AU215" s="33"/>
      <c r="AV215" s="33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  <c r="BQ215" s="38"/>
      <c r="BR215" s="38"/>
      <c r="BS215" s="38"/>
      <c r="BT215" s="38"/>
      <c r="BU215" s="38"/>
      <c r="BV215" s="38"/>
    </row>
    <row r="216" ht="18.75" customHeight="1">
      <c r="A216" s="23"/>
      <c r="B216" s="24" t="s">
        <v>303</v>
      </c>
      <c r="C216" s="24" t="s">
        <v>304</v>
      </c>
      <c r="D216" s="52" t="s">
        <v>359</v>
      </c>
      <c r="E216" s="49"/>
      <c r="F216" s="50">
        <v>50.0</v>
      </c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50">
        <v>50.0</v>
      </c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>
        <f t="shared" si="20"/>
        <v>50</v>
      </c>
      <c r="AL216" s="29">
        <v>0.0</v>
      </c>
      <c r="AM216" s="49" t="s">
        <v>37</v>
      </c>
      <c r="AN216" s="51">
        <v>394512.0</v>
      </c>
      <c r="AO216" s="64">
        <f t="shared" si="21"/>
        <v>19725600</v>
      </c>
      <c r="AP216" s="37" t="str">
        <f t="shared" si="22"/>
        <v>&lt;30 hari</v>
      </c>
      <c r="AQ216" s="34">
        <v>50.0</v>
      </c>
      <c r="AR216" s="33"/>
      <c r="AS216" s="33"/>
      <c r="AT216" s="33"/>
      <c r="AU216" s="33"/>
      <c r="AV216" s="33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  <c r="BT216" s="38"/>
      <c r="BU216" s="38"/>
      <c r="BV216" s="38"/>
    </row>
    <row r="217" ht="18.75" customHeight="1">
      <c r="A217" s="23"/>
      <c r="B217" s="24" t="s">
        <v>303</v>
      </c>
      <c r="C217" s="24" t="s">
        <v>304</v>
      </c>
      <c r="D217" s="52" t="s">
        <v>318</v>
      </c>
      <c r="E217" s="49"/>
      <c r="F217" s="50">
        <v>937.0</v>
      </c>
      <c r="G217" s="50">
        <v>237.0</v>
      </c>
      <c r="H217" s="49"/>
      <c r="I217" s="49"/>
      <c r="J217" s="50">
        <v>700.0</v>
      </c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>
        <f t="shared" si="20"/>
        <v>937</v>
      </c>
      <c r="AL217" s="29">
        <v>0.0</v>
      </c>
      <c r="AM217" s="49" t="s">
        <v>37</v>
      </c>
      <c r="AN217" s="51">
        <v>83610.0</v>
      </c>
      <c r="AO217" s="64">
        <f t="shared" si="21"/>
        <v>78342570</v>
      </c>
      <c r="AP217" s="37" t="str">
        <f t="shared" si="22"/>
        <v>&lt;30 hari</v>
      </c>
      <c r="AQ217" s="34">
        <v>937.0</v>
      </c>
      <c r="AR217" s="33"/>
      <c r="AS217" s="33"/>
      <c r="AT217" s="33"/>
      <c r="AU217" s="33"/>
      <c r="AV217" s="33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  <c r="BS217" s="38"/>
      <c r="BT217" s="38"/>
      <c r="BU217" s="38"/>
      <c r="BV217" s="38"/>
    </row>
    <row r="218" ht="18.75" customHeight="1">
      <c r="A218" s="23"/>
      <c r="B218" s="24" t="s">
        <v>303</v>
      </c>
      <c r="C218" s="24" t="s">
        <v>304</v>
      </c>
      <c r="D218" s="52" t="s">
        <v>360</v>
      </c>
      <c r="E218" s="49"/>
      <c r="F218" s="50">
        <v>288.0</v>
      </c>
      <c r="G218" s="50">
        <v>88.0</v>
      </c>
      <c r="H218" s="49"/>
      <c r="I218" s="49"/>
      <c r="J218" s="50">
        <v>200.0</v>
      </c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>
        <f t="shared" si="20"/>
        <v>288</v>
      </c>
      <c r="AL218" s="29">
        <v>0.0</v>
      </c>
      <c r="AM218" s="49" t="s">
        <v>37</v>
      </c>
      <c r="AN218" s="51">
        <v>119035.0</v>
      </c>
      <c r="AO218" s="64">
        <f t="shared" si="21"/>
        <v>34282080</v>
      </c>
      <c r="AP218" s="37" t="str">
        <f t="shared" si="22"/>
        <v>&lt;30 hari</v>
      </c>
      <c r="AQ218" s="34">
        <v>288.0</v>
      </c>
      <c r="AR218" s="33"/>
      <c r="AS218" s="33"/>
      <c r="AT218" s="33"/>
      <c r="AU218" s="33"/>
      <c r="AV218" s="33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</row>
    <row r="219" ht="18.75" customHeight="1">
      <c r="A219" s="23"/>
      <c r="B219" s="24" t="s">
        <v>303</v>
      </c>
      <c r="C219" s="24" t="s">
        <v>304</v>
      </c>
      <c r="D219" s="52" t="s">
        <v>361</v>
      </c>
      <c r="E219" s="49"/>
      <c r="F219" s="50">
        <v>6.0</v>
      </c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50">
        <v>6.0</v>
      </c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>
        <f t="shared" si="20"/>
        <v>6</v>
      </c>
      <c r="AL219" s="29">
        <v>0.0</v>
      </c>
      <c r="AM219" s="49" t="s">
        <v>37</v>
      </c>
      <c r="AN219" s="51">
        <v>1278515.0</v>
      </c>
      <c r="AO219" s="64">
        <f t="shared" si="21"/>
        <v>7671090</v>
      </c>
      <c r="AP219" s="37" t="str">
        <f t="shared" si="22"/>
        <v>30-60 hari</v>
      </c>
      <c r="AQ219" s="34"/>
      <c r="AR219" s="34">
        <v>6.0</v>
      </c>
      <c r="AS219" s="33"/>
      <c r="AT219" s="33"/>
      <c r="AU219" s="33"/>
      <c r="AV219" s="33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</row>
    <row r="220" ht="18.75" customHeight="1">
      <c r="A220" s="23"/>
      <c r="B220" s="24"/>
      <c r="C220" s="24"/>
      <c r="D220" s="24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9">
        <v>0.0</v>
      </c>
      <c r="AM220" s="33"/>
      <c r="AN220" s="39"/>
      <c r="AO220" s="36"/>
      <c r="AP220" s="37"/>
      <c r="AQ220" s="33"/>
      <c r="AR220" s="33"/>
      <c r="AS220" s="33"/>
      <c r="AT220" s="33"/>
      <c r="AU220" s="33"/>
      <c r="AV220" s="33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</row>
    <row r="221" ht="18.75" customHeight="1">
      <c r="A221" s="40"/>
      <c r="B221" s="24" t="s">
        <v>362</v>
      </c>
      <c r="C221" s="24" t="s">
        <v>363</v>
      </c>
      <c r="D221" s="41" t="s">
        <v>364</v>
      </c>
      <c r="E221" s="26">
        <v>836.0</v>
      </c>
      <c r="F221" s="27"/>
      <c r="G221" s="26">
        <v>56.0</v>
      </c>
      <c r="H221" s="27"/>
      <c r="I221" s="27"/>
      <c r="J221" s="27"/>
      <c r="K221" s="27"/>
      <c r="L221" s="27"/>
      <c r="M221" s="26">
        <v>204.0</v>
      </c>
      <c r="N221" s="26">
        <v>600.0</v>
      </c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>
        <f t="shared" ref="AK221:AK225" si="23">SUM(G221:AJ221)</f>
        <v>860</v>
      </c>
      <c r="AL221" s="29">
        <v>0.0</v>
      </c>
      <c r="AM221" s="27" t="s">
        <v>37</v>
      </c>
      <c r="AN221" s="39">
        <v>342104.0</v>
      </c>
      <c r="AO221" s="36">
        <f t="shared" ref="AO221:AO225" si="24">AN221*AK221</f>
        <v>294209440</v>
      </c>
      <c r="AP221" s="37" t="str">
        <f t="shared" ref="AP221:AP224" si="25">TEXTJOIN("; ",TRUE,IF(AQ221&gt;0,"&lt;30 hari",""),IF(AR221&gt;0,"30-60 hari",""),IF(AS221&gt;0,"60-90 hari",""),IF(AT221&gt;0,"90-180 hari",""),IF(AU221&gt;0,"180-365 hari",""),IF(AV221&gt;0,"&gt;1 tahun",""))</f>
        <v>&lt;30 hari; 30-60 hari</v>
      </c>
      <c r="AQ221" s="34">
        <v>700.0</v>
      </c>
      <c r="AR221" s="34">
        <v>136.0</v>
      </c>
      <c r="AS221" s="33"/>
      <c r="AT221" s="33"/>
      <c r="AU221" s="33"/>
      <c r="AV221" s="33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</row>
    <row r="222" ht="18.75" customHeight="1">
      <c r="A222" s="23"/>
      <c r="B222" s="24" t="s">
        <v>362</v>
      </c>
      <c r="C222" s="24" t="s">
        <v>363</v>
      </c>
      <c r="D222" s="24" t="s">
        <v>365</v>
      </c>
      <c r="E222" s="26">
        <v>89.0</v>
      </c>
      <c r="F222" s="27"/>
      <c r="G222" s="27"/>
      <c r="H222" s="26">
        <v>12.0</v>
      </c>
      <c r="I222" s="27"/>
      <c r="J222" s="27"/>
      <c r="K222" s="27"/>
      <c r="L222" s="27"/>
      <c r="M222" s="26">
        <v>50.0</v>
      </c>
      <c r="N222" s="26">
        <v>27.0</v>
      </c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>
        <f t="shared" si="23"/>
        <v>89</v>
      </c>
      <c r="AL222" s="29">
        <v>0.0</v>
      </c>
      <c r="AM222" s="27" t="s">
        <v>37</v>
      </c>
      <c r="AN222" s="39">
        <v>382778.0</v>
      </c>
      <c r="AO222" s="36">
        <f t="shared" si="24"/>
        <v>34067242</v>
      </c>
      <c r="AP222" s="37" t="str">
        <f t="shared" si="25"/>
        <v>&lt;30 hari; 30-60 hari</v>
      </c>
      <c r="AQ222" s="34">
        <v>60.0</v>
      </c>
      <c r="AR222" s="34">
        <v>29.0</v>
      </c>
      <c r="AS222" s="33"/>
      <c r="AT222" s="33"/>
      <c r="AU222" s="33"/>
      <c r="AV222" s="33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</row>
    <row r="223" ht="18.75" customHeight="1">
      <c r="A223" s="23"/>
      <c r="B223" s="24" t="s">
        <v>362</v>
      </c>
      <c r="C223" s="24" t="s">
        <v>363</v>
      </c>
      <c r="D223" s="24" t="s">
        <v>366</v>
      </c>
      <c r="E223" s="26">
        <v>55.0</v>
      </c>
      <c r="F223" s="27"/>
      <c r="G223" s="27"/>
      <c r="H223" s="27"/>
      <c r="I223" s="27"/>
      <c r="J223" s="27"/>
      <c r="K223" s="27"/>
      <c r="L223" s="27"/>
      <c r="M223" s="27"/>
      <c r="N223" s="26">
        <v>55.0</v>
      </c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>
        <f t="shared" si="23"/>
        <v>55</v>
      </c>
      <c r="AL223" s="29">
        <v>0.0</v>
      </c>
      <c r="AM223" s="27" t="s">
        <v>37</v>
      </c>
      <c r="AN223" s="39">
        <v>342104.0</v>
      </c>
      <c r="AO223" s="36">
        <f t="shared" si="24"/>
        <v>18815720</v>
      </c>
      <c r="AP223" s="37" t="str">
        <f t="shared" si="25"/>
        <v>&lt;30 hari; 30-60 hari</v>
      </c>
      <c r="AQ223" s="34">
        <v>40.0</v>
      </c>
      <c r="AR223" s="34">
        <v>15.0</v>
      </c>
      <c r="AS223" s="33"/>
      <c r="AT223" s="33"/>
      <c r="AU223" s="33"/>
      <c r="AV223" s="33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</row>
    <row r="224" ht="18.75" customHeight="1">
      <c r="A224" s="23"/>
      <c r="B224" s="24" t="s">
        <v>362</v>
      </c>
      <c r="C224" s="24" t="s">
        <v>363</v>
      </c>
      <c r="D224" s="24" t="s">
        <v>367</v>
      </c>
      <c r="E224" s="26">
        <v>297.0</v>
      </c>
      <c r="F224" s="27"/>
      <c r="G224" s="27"/>
      <c r="H224" s="27"/>
      <c r="I224" s="27"/>
      <c r="J224" s="27"/>
      <c r="K224" s="27"/>
      <c r="L224" s="27"/>
      <c r="M224" s="26">
        <v>97.0</v>
      </c>
      <c r="N224" s="26">
        <v>200.0</v>
      </c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>
        <f t="shared" si="23"/>
        <v>297</v>
      </c>
      <c r="AL224" s="29">
        <v>0.0</v>
      </c>
      <c r="AM224" s="27" t="s">
        <v>37</v>
      </c>
      <c r="AN224" s="39">
        <v>589211.0</v>
      </c>
      <c r="AO224" s="36">
        <f t="shared" si="24"/>
        <v>174995667</v>
      </c>
      <c r="AP224" s="37" t="str">
        <f t="shared" si="25"/>
        <v>&lt;30 hari; 30-60 hari</v>
      </c>
      <c r="AQ224" s="34">
        <v>260.0</v>
      </c>
      <c r="AR224" s="34">
        <v>37.0</v>
      </c>
      <c r="AS224" s="33"/>
      <c r="AT224" s="33"/>
      <c r="AU224" s="33"/>
      <c r="AV224" s="33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</row>
    <row r="225" ht="18.75" customHeight="1">
      <c r="A225" s="23"/>
      <c r="B225" s="24"/>
      <c r="C225" s="24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>
        <f t="shared" si="23"/>
        <v>0</v>
      </c>
      <c r="AL225" s="69">
        <v>0.0</v>
      </c>
      <c r="AM225" s="24"/>
      <c r="AN225" s="70">
        <v>0.0</v>
      </c>
      <c r="AO225" s="71">
        <f t="shared" si="24"/>
        <v>0</v>
      </c>
      <c r="AP225" s="72"/>
      <c r="AQ225" s="24"/>
      <c r="AR225" s="24"/>
      <c r="AS225" s="24"/>
      <c r="AT225" s="24"/>
      <c r="AU225" s="24"/>
      <c r="AV225" s="24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</row>
    <row r="226" ht="18.75" customHeight="1">
      <c r="A226" s="23"/>
      <c r="B226" s="24"/>
      <c r="C226" s="24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4"/>
      <c r="AM226" s="24"/>
      <c r="AN226" s="70"/>
      <c r="AO226" s="71"/>
      <c r="AP226" s="72"/>
      <c r="AQ226" s="24"/>
      <c r="AR226" s="24"/>
      <c r="AS226" s="24"/>
      <c r="AT226" s="24"/>
      <c r="AU226" s="24"/>
      <c r="AV226" s="24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</row>
    <row r="227" ht="18.75" customHeight="1">
      <c r="A227" s="23"/>
      <c r="B227" s="24"/>
      <c r="C227" s="24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4"/>
      <c r="AM227" s="24"/>
      <c r="AN227" s="70">
        <v>0.0</v>
      </c>
      <c r="AO227" s="71">
        <f t="shared" ref="AO227:AO272" si="26">AN227*AK227</f>
        <v>0</v>
      </c>
      <c r="AP227" s="72"/>
      <c r="AQ227" s="24"/>
      <c r="AR227" s="24"/>
      <c r="AS227" s="24"/>
      <c r="AT227" s="24"/>
      <c r="AU227" s="24"/>
      <c r="AV227" s="24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</row>
    <row r="228" ht="18.75" customHeight="1">
      <c r="A228" s="23"/>
      <c r="B228" s="24"/>
      <c r="C228" s="24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4"/>
      <c r="AM228" s="24"/>
      <c r="AN228" s="70">
        <v>0.0</v>
      </c>
      <c r="AO228" s="71">
        <f t="shared" si="26"/>
        <v>0</v>
      </c>
      <c r="AP228" s="72"/>
      <c r="AQ228" s="24"/>
      <c r="AR228" s="24"/>
      <c r="AS228" s="24"/>
      <c r="AT228" s="24"/>
      <c r="AU228" s="24"/>
      <c r="AV228" s="24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  <c r="BS228" s="38"/>
      <c r="BT228" s="38"/>
      <c r="BU228" s="38"/>
      <c r="BV228" s="38"/>
    </row>
    <row r="229" ht="18.75" customHeight="1">
      <c r="A229" s="23"/>
      <c r="B229" s="24"/>
      <c r="C229" s="24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4"/>
      <c r="AM229" s="24"/>
      <c r="AN229" s="70">
        <v>0.0</v>
      </c>
      <c r="AO229" s="71">
        <f t="shared" si="26"/>
        <v>0</v>
      </c>
      <c r="AP229" s="72"/>
      <c r="AQ229" s="24"/>
      <c r="AR229" s="24"/>
      <c r="AS229" s="24"/>
      <c r="AT229" s="24"/>
      <c r="AU229" s="24"/>
      <c r="AV229" s="24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  <c r="BS229" s="38"/>
      <c r="BT229" s="38"/>
      <c r="BU229" s="38"/>
      <c r="BV229" s="38"/>
    </row>
    <row r="230" ht="18.75" customHeight="1">
      <c r="A230" s="23"/>
      <c r="B230" s="24"/>
      <c r="C230" s="24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4"/>
      <c r="AM230" s="24"/>
      <c r="AN230" s="70">
        <v>0.0</v>
      </c>
      <c r="AO230" s="71">
        <f t="shared" si="26"/>
        <v>0</v>
      </c>
      <c r="AP230" s="72"/>
      <c r="AQ230" s="24"/>
      <c r="AR230" s="24"/>
      <c r="AS230" s="24"/>
      <c r="AT230" s="24"/>
      <c r="AU230" s="24"/>
      <c r="AV230" s="24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38"/>
      <c r="BS230" s="38"/>
      <c r="BT230" s="38"/>
      <c r="BU230" s="38"/>
      <c r="BV230" s="38"/>
    </row>
    <row r="231" ht="18.75" customHeight="1">
      <c r="A231" s="23"/>
      <c r="B231" s="24"/>
      <c r="C231" s="24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4"/>
      <c r="AM231" s="24"/>
      <c r="AN231" s="70">
        <v>0.0</v>
      </c>
      <c r="AO231" s="71">
        <f t="shared" si="26"/>
        <v>0</v>
      </c>
      <c r="AP231" s="72"/>
      <c r="AQ231" s="24"/>
      <c r="AR231" s="24"/>
      <c r="AS231" s="24"/>
      <c r="AT231" s="24"/>
      <c r="AU231" s="24"/>
      <c r="AV231" s="24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38"/>
      <c r="BS231" s="38"/>
      <c r="BT231" s="38"/>
      <c r="BU231" s="38"/>
      <c r="BV231" s="38"/>
    </row>
    <row r="232" ht="18.75" customHeight="1">
      <c r="A232" s="23"/>
      <c r="B232" s="24"/>
      <c r="C232" s="24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4"/>
      <c r="AM232" s="24"/>
      <c r="AN232" s="70">
        <v>0.0</v>
      </c>
      <c r="AO232" s="71">
        <f t="shared" si="26"/>
        <v>0</v>
      </c>
      <c r="AP232" s="73" t="s">
        <v>368</v>
      </c>
      <c r="AQ232" s="24"/>
      <c r="AR232" s="24"/>
      <c r="AS232" s="24"/>
      <c r="AT232" s="24"/>
      <c r="AU232" s="24"/>
      <c r="AV232" s="24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  <c r="BQ232" s="38"/>
      <c r="BR232" s="38"/>
      <c r="BS232" s="38"/>
      <c r="BT232" s="38"/>
      <c r="BU232" s="38"/>
      <c r="BV232" s="38"/>
    </row>
    <row r="233" ht="18.75" customHeight="1">
      <c r="A233" s="23"/>
      <c r="B233" s="24"/>
      <c r="C233" s="24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4"/>
      <c r="AM233" s="24"/>
      <c r="AN233" s="70">
        <v>0.0</v>
      </c>
      <c r="AO233" s="71">
        <f t="shared" si="26"/>
        <v>0</v>
      </c>
      <c r="AP233" s="72"/>
      <c r="AQ233" s="24"/>
      <c r="AR233" s="24"/>
      <c r="AS233" s="24"/>
      <c r="AT233" s="24"/>
      <c r="AU233" s="24"/>
      <c r="AV233" s="24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8"/>
      <c r="BU233" s="38"/>
      <c r="BV233" s="38"/>
    </row>
    <row r="234" ht="18.75" customHeight="1">
      <c r="A234" s="23"/>
      <c r="B234" s="24"/>
      <c r="C234" s="24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4"/>
      <c r="AM234" s="24"/>
      <c r="AN234" s="70">
        <v>0.0</v>
      </c>
      <c r="AO234" s="71">
        <f t="shared" si="26"/>
        <v>0</v>
      </c>
      <c r="AP234" s="72"/>
      <c r="AQ234" s="24"/>
      <c r="AR234" s="24"/>
      <c r="AS234" s="24"/>
      <c r="AT234" s="24"/>
      <c r="AU234" s="24"/>
      <c r="AV234" s="24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  <c r="BQ234" s="38"/>
      <c r="BR234" s="38"/>
      <c r="BS234" s="38"/>
      <c r="BT234" s="38"/>
      <c r="BU234" s="38"/>
      <c r="BV234" s="38"/>
    </row>
    <row r="235" ht="18.75" customHeight="1">
      <c r="A235" s="23"/>
      <c r="B235" s="24"/>
      <c r="C235" s="24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4"/>
      <c r="AM235" s="24"/>
      <c r="AN235" s="70">
        <v>0.0</v>
      </c>
      <c r="AO235" s="71">
        <f t="shared" si="26"/>
        <v>0</v>
      </c>
      <c r="AP235" s="72"/>
      <c r="AQ235" s="24"/>
      <c r="AR235" s="24"/>
      <c r="AS235" s="24"/>
      <c r="AT235" s="24"/>
      <c r="AU235" s="24"/>
      <c r="AV235" s="24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  <c r="BT235" s="38"/>
      <c r="BU235" s="38"/>
      <c r="BV235" s="38"/>
    </row>
    <row r="236" ht="18.75" customHeight="1">
      <c r="A236" s="23"/>
      <c r="B236" s="24"/>
      <c r="C236" s="24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4"/>
      <c r="AM236" s="24"/>
      <c r="AN236" s="70">
        <v>0.0</v>
      </c>
      <c r="AO236" s="71">
        <f t="shared" si="26"/>
        <v>0</v>
      </c>
      <c r="AP236" s="72"/>
      <c r="AQ236" s="24"/>
      <c r="AR236" s="24"/>
      <c r="AS236" s="24"/>
      <c r="AT236" s="24"/>
      <c r="AU236" s="24"/>
      <c r="AV236" s="24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  <c r="BQ236" s="38"/>
      <c r="BR236" s="38"/>
      <c r="BS236" s="38"/>
      <c r="BT236" s="38"/>
      <c r="BU236" s="38"/>
      <c r="BV236" s="38"/>
    </row>
    <row r="237" ht="18.75" customHeight="1">
      <c r="A237" s="23"/>
      <c r="B237" s="24"/>
      <c r="C237" s="24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4"/>
      <c r="AM237" s="24"/>
      <c r="AN237" s="70">
        <v>0.0</v>
      </c>
      <c r="AO237" s="71">
        <f t="shared" si="26"/>
        <v>0</v>
      </c>
      <c r="AP237" s="72"/>
      <c r="AQ237" s="24"/>
      <c r="AR237" s="24"/>
      <c r="AS237" s="24"/>
      <c r="AT237" s="24"/>
      <c r="AU237" s="24"/>
      <c r="AV237" s="24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38"/>
      <c r="BS237" s="38"/>
      <c r="BT237" s="38"/>
      <c r="BU237" s="38"/>
      <c r="BV237" s="38"/>
    </row>
    <row r="238" ht="18.75" customHeight="1">
      <c r="A238" s="23"/>
      <c r="B238" s="24"/>
      <c r="C238" s="24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4"/>
      <c r="AM238" s="24"/>
      <c r="AN238" s="70">
        <v>0.0</v>
      </c>
      <c r="AO238" s="71">
        <f t="shared" si="26"/>
        <v>0</v>
      </c>
      <c r="AP238" s="72"/>
      <c r="AQ238" s="24"/>
      <c r="AR238" s="24"/>
      <c r="AS238" s="24"/>
      <c r="AT238" s="24"/>
      <c r="AU238" s="24"/>
      <c r="AV238" s="24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  <c r="BS238" s="38"/>
      <c r="BT238" s="38"/>
      <c r="BU238" s="38"/>
      <c r="BV238" s="38"/>
    </row>
    <row r="239" ht="18.75" customHeight="1">
      <c r="A239" s="23"/>
      <c r="B239" s="24"/>
      <c r="C239" s="24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4"/>
      <c r="AM239" s="24"/>
      <c r="AN239" s="70">
        <v>0.0</v>
      </c>
      <c r="AO239" s="71">
        <f t="shared" si="26"/>
        <v>0</v>
      </c>
      <c r="AP239" s="72"/>
      <c r="AQ239" s="24"/>
      <c r="AR239" s="24"/>
      <c r="AS239" s="24"/>
      <c r="AT239" s="24"/>
      <c r="AU239" s="24"/>
      <c r="AV239" s="24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38"/>
      <c r="BS239" s="38"/>
      <c r="BT239" s="38"/>
      <c r="BU239" s="38"/>
      <c r="BV239" s="38"/>
    </row>
    <row r="240" ht="18.75" customHeight="1">
      <c r="A240" s="23"/>
      <c r="B240" s="24"/>
      <c r="C240" s="24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4"/>
      <c r="AM240" s="24"/>
      <c r="AN240" s="70">
        <v>0.0</v>
      </c>
      <c r="AO240" s="71">
        <f t="shared" si="26"/>
        <v>0</v>
      </c>
      <c r="AP240" s="72"/>
      <c r="AQ240" s="24"/>
      <c r="AR240" s="24"/>
      <c r="AS240" s="24"/>
      <c r="AT240" s="24"/>
      <c r="AU240" s="24"/>
      <c r="AV240" s="24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38"/>
      <c r="BS240" s="38"/>
      <c r="BT240" s="38"/>
      <c r="BU240" s="38"/>
      <c r="BV240" s="38"/>
    </row>
    <row r="241" ht="18.75" customHeight="1">
      <c r="A241" s="23"/>
      <c r="B241" s="24"/>
      <c r="C241" s="24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4"/>
      <c r="AM241" s="24"/>
      <c r="AN241" s="70">
        <v>0.0</v>
      </c>
      <c r="AO241" s="71">
        <f t="shared" si="26"/>
        <v>0</v>
      </c>
      <c r="AP241" s="72"/>
      <c r="AQ241" s="24"/>
      <c r="AR241" s="24"/>
      <c r="AS241" s="24"/>
      <c r="AT241" s="24"/>
      <c r="AU241" s="24"/>
      <c r="AV241" s="24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/>
      <c r="BR241" s="38"/>
      <c r="BS241" s="38"/>
      <c r="BT241" s="38"/>
      <c r="BU241" s="38"/>
      <c r="BV241" s="38"/>
    </row>
    <row r="242" ht="18.75" customHeight="1">
      <c r="A242" s="23"/>
      <c r="B242" s="24"/>
      <c r="C242" s="24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4"/>
      <c r="AM242" s="24"/>
      <c r="AN242" s="70">
        <v>0.0</v>
      </c>
      <c r="AO242" s="71">
        <f t="shared" si="26"/>
        <v>0</v>
      </c>
      <c r="AP242" s="72"/>
      <c r="AQ242" s="24"/>
      <c r="AR242" s="24"/>
      <c r="AS242" s="24"/>
      <c r="AT242" s="24"/>
      <c r="AU242" s="24"/>
      <c r="AV242" s="24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  <c r="BS242" s="38"/>
      <c r="BT242" s="38"/>
      <c r="BU242" s="38"/>
      <c r="BV242" s="38"/>
    </row>
    <row r="243" ht="18.75" customHeight="1">
      <c r="A243" s="23"/>
      <c r="B243" s="24"/>
      <c r="C243" s="24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4"/>
      <c r="AM243" s="24"/>
      <c r="AN243" s="70">
        <v>0.0</v>
      </c>
      <c r="AO243" s="71">
        <f t="shared" si="26"/>
        <v>0</v>
      </c>
      <c r="AP243" s="72"/>
      <c r="AQ243" s="24"/>
      <c r="AR243" s="24"/>
      <c r="AS243" s="24"/>
      <c r="AT243" s="24"/>
      <c r="AU243" s="24"/>
      <c r="AV243" s="24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  <c r="BP243" s="38"/>
      <c r="BQ243" s="38"/>
      <c r="BR243" s="38"/>
      <c r="BS243" s="38"/>
      <c r="BT243" s="38"/>
      <c r="BU243" s="38"/>
      <c r="BV243" s="38"/>
    </row>
    <row r="244" ht="18.75" customHeight="1">
      <c r="A244" s="23"/>
      <c r="B244" s="24"/>
      <c r="C244" s="24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4"/>
      <c r="AM244" s="24"/>
      <c r="AN244" s="70">
        <v>0.0</v>
      </c>
      <c r="AO244" s="71">
        <f t="shared" si="26"/>
        <v>0</v>
      </c>
      <c r="AP244" s="72"/>
      <c r="AQ244" s="24"/>
      <c r="AR244" s="24"/>
      <c r="AS244" s="24"/>
      <c r="AT244" s="24"/>
      <c r="AU244" s="24"/>
      <c r="AV244" s="24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  <c r="BQ244" s="38"/>
      <c r="BR244" s="38"/>
      <c r="BS244" s="38"/>
      <c r="BT244" s="38"/>
      <c r="BU244" s="38"/>
      <c r="BV244" s="38"/>
    </row>
    <row r="245" ht="18.75" customHeight="1">
      <c r="A245" s="23"/>
      <c r="B245" s="24"/>
      <c r="C245" s="24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4"/>
      <c r="AM245" s="24"/>
      <c r="AN245" s="70">
        <v>0.0</v>
      </c>
      <c r="AO245" s="71">
        <f t="shared" si="26"/>
        <v>0</v>
      </c>
      <c r="AP245" s="72"/>
      <c r="AQ245" s="24"/>
      <c r="AR245" s="24"/>
      <c r="AS245" s="24"/>
      <c r="AT245" s="24"/>
      <c r="AU245" s="24"/>
      <c r="AV245" s="24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38"/>
      <c r="BS245" s="38"/>
      <c r="BT245" s="38"/>
      <c r="BU245" s="38"/>
      <c r="BV245" s="38"/>
    </row>
    <row r="246" ht="18.75" customHeight="1">
      <c r="A246" s="23"/>
      <c r="B246" s="24"/>
      <c r="C246" s="24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4"/>
      <c r="AM246" s="24"/>
      <c r="AN246" s="70">
        <v>0.0</v>
      </c>
      <c r="AO246" s="71">
        <f t="shared" si="26"/>
        <v>0</v>
      </c>
      <c r="AP246" s="72"/>
      <c r="AQ246" s="24"/>
      <c r="AR246" s="24"/>
      <c r="AS246" s="24"/>
      <c r="AT246" s="24"/>
      <c r="AU246" s="24"/>
      <c r="AV246" s="24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  <c r="BQ246" s="38"/>
      <c r="BR246" s="38"/>
      <c r="BS246" s="38"/>
      <c r="BT246" s="38"/>
      <c r="BU246" s="38"/>
      <c r="BV246" s="38"/>
    </row>
    <row r="247" ht="18.75" customHeight="1">
      <c r="A247" s="23"/>
      <c r="B247" s="24"/>
      <c r="C247" s="24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4"/>
      <c r="AM247" s="24"/>
      <c r="AN247" s="70">
        <v>0.0</v>
      </c>
      <c r="AO247" s="71">
        <f t="shared" si="26"/>
        <v>0</v>
      </c>
      <c r="AP247" s="72"/>
      <c r="AQ247" s="24"/>
      <c r="AR247" s="24"/>
      <c r="AS247" s="24"/>
      <c r="AT247" s="24"/>
      <c r="AU247" s="24"/>
      <c r="AV247" s="24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  <c r="BQ247" s="38"/>
      <c r="BR247" s="38"/>
      <c r="BS247" s="38"/>
      <c r="BT247" s="38"/>
      <c r="BU247" s="38"/>
      <c r="BV247" s="38"/>
    </row>
    <row r="248" ht="18.75" customHeight="1">
      <c r="A248" s="23"/>
      <c r="B248" s="24"/>
      <c r="C248" s="24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4"/>
      <c r="AM248" s="24"/>
      <c r="AN248" s="70">
        <v>0.0</v>
      </c>
      <c r="AO248" s="71">
        <f t="shared" si="26"/>
        <v>0</v>
      </c>
      <c r="AP248" s="72"/>
      <c r="AQ248" s="24"/>
      <c r="AR248" s="24"/>
      <c r="AS248" s="24"/>
      <c r="AT248" s="24"/>
      <c r="AU248" s="24"/>
      <c r="AV248" s="24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38"/>
      <c r="BS248" s="38"/>
      <c r="BT248" s="38"/>
      <c r="BU248" s="38"/>
      <c r="BV248" s="38"/>
    </row>
    <row r="249" ht="18.75" customHeight="1">
      <c r="A249" s="23"/>
      <c r="B249" s="24"/>
      <c r="C249" s="24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4"/>
      <c r="AM249" s="24"/>
      <c r="AN249" s="70">
        <v>0.0</v>
      </c>
      <c r="AO249" s="71">
        <f t="shared" si="26"/>
        <v>0</v>
      </c>
      <c r="AP249" s="72"/>
      <c r="AQ249" s="24"/>
      <c r="AR249" s="24"/>
      <c r="AS249" s="24"/>
      <c r="AT249" s="24"/>
      <c r="AU249" s="24"/>
      <c r="AV249" s="24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  <c r="BQ249" s="38"/>
      <c r="BR249" s="38"/>
      <c r="BS249" s="38"/>
      <c r="BT249" s="38"/>
      <c r="BU249" s="38"/>
      <c r="BV249" s="38"/>
    </row>
    <row r="250" ht="18.75" customHeight="1">
      <c r="A250" s="23"/>
      <c r="B250" s="24"/>
      <c r="C250" s="24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4"/>
      <c r="AM250" s="24"/>
      <c r="AN250" s="70">
        <v>0.0</v>
      </c>
      <c r="AO250" s="71">
        <f t="shared" si="26"/>
        <v>0</v>
      </c>
      <c r="AP250" s="72"/>
      <c r="AQ250" s="24"/>
      <c r="AR250" s="24"/>
      <c r="AS250" s="24"/>
      <c r="AT250" s="24"/>
      <c r="AU250" s="24"/>
      <c r="AV250" s="24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  <c r="BP250" s="38"/>
      <c r="BQ250" s="38"/>
      <c r="BR250" s="38"/>
      <c r="BS250" s="38"/>
      <c r="BT250" s="38"/>
      <c r="BU250" s="38"/>
      <c r="BV250" s="38"/>
    </row>
    <row r="251" ht="18.75" customHeight="1">
      <c r="A251" s="23"/>
      <c r="B251" s="24"/>
      <c r="C251" s="24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4"/>
      <c r="AM251" s="24"/>
      <c r="AN251" s="70">
        <v>0.0</v>
      </c>
      <c r="AO251" s="71">
        <f t="shared" si="26"/>
        <v>0</v>
      </c>
      <c r="AP251" s="72"/>
      <c r="AQ251" s="24"/>
      <c r="AR251" s="24"/>
      <c r="AS251" s="24"/>
      <c r="AT251" s="24"/>
      <c r="AU251" s="24"/>
      <c r="AV251" s="24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  <c r="BQ251" s="38"/>
      <c r="BR251" s="38"/>
      <c r="BS251" s="38"/>
      <c r="BT251" s="38"/>
      <c r="BU251" s="38"/>
      <c r="BV251" s="38"/>
    </row>
    <row r="252" ht="18.75" customHeight="1">
      <c r="A252" s="23"/>
      <c r="B252" s="24"/>
      <c r="C252" s="24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4"/>
      <c r="AM252" s="24"/>
      <c r="AN252" s="70">
        <v>0.0</v>
      </c>
      <c r="AO252" s="71">
        <f t="shared" si="26"/>
        <v>0</v>
      </c>
      <c r="AP252" s="72"/>
      <c r="AQ252" s="24"/>
      <c r="AR252" s="24"/>
      <c r="AS252" s="24"/>
      <c r="AT252" s="24"/>
      <c r="AU252" s="24"/>
      <c r="AV252" s="24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38"/>
      <c r="BS252" s="38"/>
      <c r="BT252" s="38"/>
      <c r="BU252" s="38"/>
      <c r="BV252" s="38"/>
    </row>
    <row r="253" ht="18.75" customHeight="1">
      <c r="A253" s="23"/>
      <c r="B253" s="24"/>
      <c r="C253" s="24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4"/>
      <c r="AM253" s="24"/>
      <c r="AN253" s="70">
        <v>0.0</v>
      </c>
      <c r="AO253" s="71">
        <f t="shared" si="26"/>
        <v>0</v>
      </c>
      <c r="AP253" s="72"/>
      <c r="AQ253" s="24"/>
      <c r="AR253" s="24"/>
      <c r="AS253" s="24"/>
      <c r="AT253" s="24"/>
      <c r="AU253" s="24"/>
      <c r="AV253" s="24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  <c r="BS253" s="38"/>
      <c r="BT253" s="38"/>
      <c r="BU253" s="38"/>
      <c r="BV253" s="38"/>
    </row>
    <row r="254" ht="18.75" customHeight="1">
      <c r="A254" s="23"/>
      <c r="B254" s="24"/>
      <c r="C254" s="24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4"/>
      <c r="AM254" s="24"/>
      <c r="AN254" s="70">
        <v>0.0</v>
      </c>
      <c r="AO254" s="71">
        <f t="shared" si="26"/>
        <v>0</v>
      </c>
      <c r="AP254" s="72"/>
      <c r="AQ254" s="24"/>
      <c r="AR254" s="24"/>
      <c r="AS254" s="24"/>
      <c r="AT254" s="24"/>
      <c r="AU254" s="24"/>
      <c r="AV254" s="24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  <c r="BS254" s="38"/>
      <c r="BT254" s="38"/>
      <c r="BU254" s="38"/>
      <c r="BV254" s="38"/>
    </row>
    <row r="255" ht="18.75" customHeight="1">
      <c r="A255" s="23"/>
      <c r="B255" s="24"/>
      <c r="C255" s="24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4"/>
      <c r="AM255" s="24"/>
      <c r="AN255" s="70">
        <v>0.0</v>
      </c>
      <c r="AO255" s="71">
        <f t="shared" si="26"/>
        <v>0</v>
      </c>
      <c r="AP255" s="72"/>
      <c r="AQ255" s="24"/>
      <c r="AR255" s="24"/>
      <c r="AS255" s="24"/>
      <c r="AT255" s="24"/>
      <c r="AU255" s="24"/>
      <c r="AV255" s="24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  <c r="BP255" s="38"/>
      <c r="BQ255" s="38"/>
      <c r="BR255" s="38"/>
      <c r="BS255" s="38"/>
      <c r="BT255" s="38"/>
      <c r="BU255" s="38"/>
      <c r="BV255" s="38"/>
    </row>
    <row r="256" ht="18.75" customHeight="1">
      <c r="A256" s="23"/>
      <c r="B256" s="24"/>
      <c r="C256" s="24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4"/>
      <c r="AM256" s="24"/>
      <c r="AN256" s="70">
        <v>0.0</v>
      </c>
      <c r="AO256" s="71">
        <f t="shared" si="26"/>
        <v>0</v>
      </c>
      <c r="AP256" s="72"/>
      <c r="AQ256" s="24"/>
      <c r="AR256" s="24"/>
      <c r="AS256" s="24"/>
      <c r="AT256" s="24"/>
      <c r="AU256" s="24"/>
      <c r="AV256" s="24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  <c r="BQ256" s="38"/>
      <c r="BR256" s="38"/>
      <c r="BS256" s="38"/>
      <c r="BT256" s="38"/>
      <c r="BU256" s="38"/>
      <c r="BV256" s="38"/>
    </row>
    <row r="257" ht="18.75" customHeight="1">
      <c r="A257" s="23"/>
      <c r="B257" s="24"/>
      <c r="C257" s="24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4"/>
      <c r="AM257" s="24"/>
      <c r="AN257" s="70">
        <v>0.0</v>
      </c>
      <c r="AO257" s="71">
        <f t="shared" si="26"/>
        <v>0</v>
      </c>
      <c r="AP257" s="72"/>
      <c r="AQ257" s="24"/>
      <c r="AR257" s="24"/>
      <c r="AS257" s="24"/>
      <c r="AT257" s="24"/>
      <c r="AU257" s="24"/>
      <c r="AV257" s="24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</row>
    <row r="258" ht="18.75" customHeight="1">
      <c r="A258" s="23"/>
      <c r="B258" s="24"/>
      <c r="C258" s="24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4"/>
      <c r="AM258" s="24"/>
      <c r="AN258" s="70">
        <v>0.0</v>
      </c>
      <c r="AO258" s="71">
        <f t="shared" si="26"/>
        <v>0</v>
      </c>
      <c r="AP258" s="72"/>
      <c r="AQ258" s="24"/>
      <c r="AR258" s="24"/>
      <c r="AS258" s="24"/>
      <c r="AT258" s="24"/>
      <c r="AU258" s="24"/>
      <c r="AV258" s="24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</row>
    <row r="259" ht="18.75" customHeight="1">
      <c r="A259" s="23"/>
      <c r="B259" s="24"/>
      <c r="C259" s="24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4"/>
      <c r="AM259" s="24"/>
      <c r="AN259" s="70">
        <v>0.0</v>
      </c>
      <c r="AO259" s="71">
        <f t="shared" si="26"/>
        <v>0</v>
      </c>
      <c r="AP259" s="72"/>
      <c r="AQ259" s="24"/>
      <c r="AR259" s="24"/>
      <c r="AS259" s="24"/>
      <c r="AT259" s="24"/>
      <c r="AU259" s="24"/>
      <c r="AV259" s="24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</row>
    <row r="260" ht="18.75" customHeight="1">
      <c r="A260" s="23"/>
      <c r="B260" s="24"/>
      <c r="C260" s="24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4"/>
      <c r="AM260" s="24"/>
      <c r="AN260" s="70">
        <v>0.0</v>
      </c>
      <c r="AO260" s="71">
        <f t="shared" si="26"/>
        <v>0</v>
      </c>
      <c r="AP260" s="72"/>
      <c r="AQ260" s="24"/>
      <c r="AR260" s="24"/>
      <c r="AS260" s="24"/>
      <c r="AT260" s="24"/>
      <c r="AU260" s="24"/>
      <c r="AV260" s="24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</row>
    <row r="261" ht="18.75" customHeight="1">
      <c r="A261" s="23"/>
      <c r="B261" s="24"/>
      <c r="C261" s="24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4"/>
      <c r="AM261" s="24"/>
      <c r="AN261" s="70">
        <v>0.0</v>
      </c>
      <c r="AO261" s="71">
        <f t="shared" si="26"/>
        <v>0</v>
      </c>
      <c r="AP261" s="72"/>
      <c r="AQ261" s="24"/>
      <c r="AR261" s="24"/>
      <c r="AS261" s="24"/>
      <c r="AT261" s="24"/>
      <c r="AU261" s="24"/>
      <c r="AV261" s="24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</row>
    <row r="262" ht="18.75" customHeight="1">
      <c r="A262" s="23"/>
      <c r="B262" s="24"/>
      <c r="C262" s="24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4"/>
      <c r="AM262" s="24"/>
      <c r="AN262" s="70">
        <v>0.0</v>
      </c>
      <c r="AO262" s="71">
        <f t="shared" si="26"/>
        <v>0</v>
      </c>
      <c r="AP262" s="72"/>
      <c r="AQ262" s="24"/>
      <c r="AR262" s="24"/>
      <c r="AS262" s="24"/>
      <c r="AT262" s="24"/>
      <c r="AU262" s="24"/>
      <c r="AV262" s="24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</row>
    <row r="263" ht="18.75" customHeight="1">
      <c r="A263" s="23"/>
      <c r="B263" s="24"/>
      <c r="C263" s="24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4"/>
      <c r="AM263" s="24"/>
      <c r="AN263" s="70">
        <v>0.0</v>
      </c>
      <c r="AO263" s="71">
        <f t="shared" si="26"/>
        <v>0</v>
      </c>
      <c r="AP263" s="72"/>
      <c r="AQ263" s="24"/>
      <c r="AR263" s="24"/>
      <c r="AS263" s="24"/>
      <c r="AT263" s="24"/>
      <c r="AU263" s="24"/>
      <c r="AV263" s="24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</row>
    <row r="264" ht="18.75" customHeight="1">
      <c r="A264" s="23"/>
      <c r="B264" s="24"/>
      <c r="C264" s="24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4"/>
      <c r="AM264" s="24"/>
      <c r="AN264" s="70">
        <v>0.0</v>
      </c>
      <c r="AO264" s="71">
        <f t="shared" si="26"/>
        <v>0</v>
      </c>
      <c r="AP264" s="72"/>
      <c r="AQ264" s="24"/>
      <c r="AR264" s="24"/>
      <c r="AS264" s="24"/>
      <c r="AT264" s="24"/>
      <c r="AU264" s="24"/>
      <c r="AV264" s="24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</row>
    <row r="265" ht="18.75" customHeight="1">
      <c r="A265" s="23"/>
      <c r="B265" s="24"/>
      <c r="C265" s="24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4"/>
      <c r="AM265" s="24"/>
      <c r="AN265" s="70">
        <v>0.0</v>
      </c>
      <c r="AO265" s="71">
        <f t="shared" si="26"/>
        <v>0</v>
      </c>
      <c r="AP265" s="72"/>
      <c r="AQ265" s="24"/>
      <c r="AR265" s="24"/>
      <c r="AS265" s="24"/>
      <c r="AT265" s="24"/>
      <c r="AU265" s="24"/>
      <c r="AV265" s="24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</row>
    <row r="266" ht="18.75" customHeight="1">
      <c r="A266" s="23"/>
      <c r="B266" s="24"/>
      <c r="C266" s="24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4"/>
      <c r="AM266" s="24"/>
      <c r="AN266" s="70">
        <v>0.0</v>
      </c>
      <c r="AO266" s="71">
        <f t="shared" si="26"/>
        <v>0</v>
      </c>
      <c r="AP266" s="72"/>
      <c r="AQ266" s="24"/>
      <c r="AR266" s="24"/>
      <c r="AS266" s="24"/>
      <c r="AT266" s="24"/>
      <c r="AU266" s="24"/>
      <c r="AV266" s="24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</row>
    <row r="267" ht="18.75" customHeight="1">
      <c r="A267" s="23"/>
      <c r="B267" s="24"/>
      <c r="C267" s="24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4"/>
      <c r="AM267" s="24"/>
      <c r="AN267" s="70">
        <v>0.0</v>
      </c>
      <c r="AO267" s="71">
        <f t="shared" si="26"/>
        <v>0</v>
      </c>
      <c r="AP267" s="72"/>
      <c r="AQ267" s="24"/>
      <c r="AR267" s="24"/>
      <c r="AS267" s="24"/>
      <c r="AT267" s="24"/>
      <c r="AU267" s="24"/>
      <c r="AV267" s="24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</row>
    <row r="268" ht="18.75" customHeight="1">
      <c r="A268" s="23"/>
      <c r="B268" s="24"/>
      <c r="C268" s="24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4"/>
      <c r="AM268" s="24"/>
      <c r="AN268" s="70">
        <v>0.0</v>
      </c>
      <c r="AO268" s="71">
        <f t="shared" si="26"/>
        <v>0</v>
      </c>
      <c r="AP268" s="72"/>
      <c r="AQ268" s="24"/>
      <c r="AR268" s="24"/>
      <c r="AS268" s="24"/>
      <c r="AT268" s="24"/>
      <c r="AU268" s="24"/>
      <c r="AV268" s="24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</row>
    <row r="269" ht="18.75" customHeight="1">
      <c r="A269" s="23"/>
      <c r="B269" s="24"/>
      <c r="C269" s="24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4"/>
      <c r="AM269" s="24"/>
      <c r="AN269" s="70">
        <v>0.0</v>
      </c>
      <c r="AO269" s="71">
        <f t="shared" si="26"/>
        <v>0</v>
      </c>
      <c r="AP269" s="72"/>
      <c r="AQ269" s="24"/>
      <c r="AR269" s="24"/>
      <c r="AS269" s="24"/>
      <c r="AT269" s="24"/>
      <c r="AU269" s="24"/>
      <c r="AV269" s="24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</row>
    <row r="270" ht="18.75" customHeight="1">
      <c r="A270" s="23"/>
      <c r="B270" s="24"/>
      <c r="C270" s="24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4"/>
      <c r="AM270" s="24"/>
      <c r="AN270" s="70">
        <v>0.0</v>
      </c>
      <c r="AO270" s="71">
        <f t="shared" si="26"/>
        <v>0</v>
      </c>
      <c r="AP270" s="72"/>
      <c r="AQ270" s="24"/>
      <c r="AR270" s="24"/>
      <c r="AS270" s="24"/>
      <c r="AT270" s="24"/>
      <c r="AU270" s="24"/>
      <c r="AV270" s="24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</row>
    <row r="271" ht="18.75" customHeight="1">
      <c r="A271" s="23"/>
      <c r="B271" s="24"/>
      <c r="C271" s="24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4"/>
      <c r="AM271" s="24"/>
      <c r="AN271" s="70">
        <v>0.0</v>
      </c>
      <c r="AO271" s="71">
        <f t="shared" si="26"/>
        <v>0</v>
      </c>
      <c r="AP271" s="72"/>
      <c r="AQ271" s="24"/>
      <c r="AR271" s="24"/>
      <c r="AS271" s="24"/>
      <c r="AT271" s="24"/>
      <c r="AU271" s="24"/>
      <c r="AV271" s="24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</row>
    <row r="272" ht="18.75" customHeight="1">
      <c r="A272" s="23"/>
      <c r="B272" s="24"/>
      <c r="C272" s="24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4"/>
      <c r="AM272" s="24"/>
      <c r="AN272" s="70">
        <v>0.0</v>
      </c>
      <c r="AO272" s="71">
        <f t="shared" si="26"/>
        <v>0</v>
      </c>
      <c r="AP272" s="72"/>
      <c r="AQ272" s="24"/>
      <c r="AR272" s="24"/>
      <c r="AS272" s="24"/>
      <c r="AT272" s="24"/>
      <c r="AU272" s="24"/>
      <c r="AV272" s="24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</row>
    <row r="273" ht="18.75" customHeight="1"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</row>
    <row r="274" ht="18.75" customHeight="1">
      <c r="A274" s="23"/>
      <c r="B274" s="24"/>
      <c r="C274" s="24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4"/>
      <c r="AM274" s="24"/>
      <c r="AN274" s="70">
        <v>0.0</v>
      </c>
      <c r="AO274" s="71">
        <f t="shared" ref="AO274:AO350" si="27">AN274*AK274</f>
        <v>0</v>
      </c>
      <c r="AP274" s="72"/>
      <c r="AQ274" s="24"/>
      <c r="AR274" s="24"/>
      <c r="AS274" s="24"/>
      <c r="AT274" s="24"/>
      <c r="AU274" s="24"/>
      <c r="AV274" s="24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</row>
    <row r="275" ht="18.75" customHeight="1">
      <c r="A275" s="23"/>
      <c r="B275" s="24"/>
      <c r="C275" s="24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4"/>
      <c r="AM275" s="24"/>
      <c r="AN275" s="70">
        <v>0.0</v>
      </c>
      <c r="AO275" s="71">
        <f t="shared" si="27"/>
        <v>0</v>
      </c>
      <c r="AP275" s="72"/>
      <c r="AQ275" s="24"/>
      <c r="AR275" s="24"/>
      <c r="AS275" s="24"/>
      <c r="AT275" s="24"/>
      <c r="AU275" s="24"/>
      <c r="AV275" s="24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</row>
    <row r="276" ht="18.75" customHeight="1">
      <c r="A276" s="23"/>
      <c r="B276" s="24"/>
      <c r="C276" s="24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4"/>
      <c r="AM276" s="24"/>
      <c r="AN276" s="70">
        <v>0.0</v>
      </c>
      <c r="AO276" s="71">
        <f t="shared" si="27"/>
        <v>0</v>
      </c>
      <c r="AP276" s="72"/>
      <c r="AQ276" s="24"/>
      <c r="AR276" s="24"/>
      <c r="AS276" s="24"/>
      <c r="AT276" s="24"/>
      <c r="AU276" s="24"/>
      <c r="AV276" s="24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</row>
    <row r="277" ht="18.75" customHeight="1">
      <c r="A277" s="23"/>
      <c r="B277" s="24"/>
      <c r="C277" s="24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>
        <f t="shared" ref="AK277:AK350" si="28">SUM(G277:AG277)</f>
        <v>0</v>
      </c>
      <c r="AL277" s="24"/>
      <c r="AM277" s="24"/>
      <c r="AN277" s="70">
        <v>0.0</v>
      </c>
      <c r="AO277" s="71">
        <f t="shared" si="27"/>
        <v>0</v>
      </c>
      <c r="AP277" s="72" t="str">
        <f t="shared" ref="AP277:AP350" si="29">TEXTJOIN("; ",TRUE,IF(AQ277&gt;0,"&lt;30 hari",""),IF(AR277&gt;0,"30-60 hari",""),IF(AS277&gt;0,"60-90 hari",""),IF(AT277&gt;0,"90-180 hari",""),IF(AU277&gt;0,"180-365 hari",""),IF(AV277&gt;0,"&gt;1 tahun",""))</f>
        <v/>
      </c>
      <c r="AQ277" s="24"/>
      <c r="AR277" s="24"/>
      <c r="AS277" s="24"/>
      <c r="AT277" s="24"/>
      <c r="AU277" s="24"/>
      <c r="AV277" s="24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</row>
    <row r="278" ht="18.75" customHeight="1">
      <c r="A278" s="23"/>
      <c r="B278" s="24"/>
      <c r="C278" s="24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>
        <f t="shared" si="28"/>
        <v>0</v>
      </c>
      <c r="AL278" s="24"/>
      <c r="AM278" s="24"/>
      <c r="AN278" s="70">
        <v>0.0</v>
      </c>
      <c r="AO278" s="71">
        <f t="shared" si="27"/>
        <v>0</v>
      </c>
      <c r="AP278" s="72" t="str">
        <f t="shared" si="29"/>
        <v/>
      </c>
      <c r="AQ278" s="24"/>
      <c r="AR278" s="24"/>
      <c r="AS278" s="24"/>
      <c r="AT278" s="24"/>
      <c r="AU278" s="24"/>
      <c r="AV278" s="24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</row>
    <row r="279" ht="18.75" customHeight="1">
      <c r="A279" s="23"/>
      <c r="B279" s="24"/>
      <c r="C279" s="24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>
        <f t="shared" si="28"/>
        <v>0</v>
      </c>
      <c r="AL279" s="24"/>
      <c r="AM279" s="24"/>
      <c r="AN279" s="70">
        <v>0.0</v>
      </c>
      <c r="AO279" s="71">
        <f t="shared" si="27"/>
        <v>0</v>
      </c>
      <c r="AP279" s="72" t="str">
        <f t="shared" si="29"/>
        <v/>
      </c>
      <c r="AQ279" s="24"/>
      <c r="AR279" s="24"/>
      <c r="AS279" s="24"/>
      <c r="AT279" s="24"/>
      <c r="AU279" s="24"/>
      <c r="AV279" s="24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</row>
    <row r="280" ht="18.75" customHeight="1">
      <c r="A280" s="23"/>
      <c r="B280" s="24"/>
      <c r="C280" s="24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>
        <f t="shared" si="28"/>
        <v>0</v>
      </c>
      <c r="AL280" s="24"/>
      <c r="AM280" s="24"/>
      <c r="AN280" s="70">
        <v>0.0</v>
      </c>
      <c r="AO280" s="71">
        <f t="shared" si="27"/>
        <v>0</v>
      </c>
      <c r="AP280" s="72" t="str">
        <f t="shared" si="29"/>
        <v/>
      </c>
      <c r="AQ280" s="24"/>
      <c r="AR280" s="24"/>
      <c r="AS280" s="24"/>
      <c r="AT280" s="24"/>
      <c r="AU280" s="24"/>
      <c r="AV280" s="24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</row>
    <row r="281" ht="18.75" customHeight="1">
      <c r="A281" s="23"/>
      <c r="B281" s="24"/>
      <c r="C281" s="24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>
        <f t="shared" si="28"/>
        <v>0</v>
      </c>
      <c r="AL281" s="24"/>
      <c r="AM281" s="24"/>
      <c r="AN281" s="70">
        <v>0.0</v>
      </c>
      <c r="AO281" s="71">
        <f t="shared" si="27"/>
        <v>0</v>
      </c>
      <c r="AP281" s="72" t="str">
        <f t="shared" si="29"/>
        <v/>
      </c>
      <c r="AQ281" s="24"/>
      <c r="AR281" s="24"/>
      <c r="AS281" s="24"/>
      <c r="AT281" s="24"/>
      <c r="AU281" s="24"/>
      <c r="AV281" s="24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</row>
    <row r="282" ht="18.75" customHeight="1">
      <c r="A282" s="23"/>
      <c r="B282" s="24"/>
      <c r="C282" s="24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>
        <f t="shared" si="28"/>
        <v>0</v>
      </c>
      <c r="AL282" s="24"/>
      <c r="AM282" s="24"/>
      <c r="AN282" s="70">
        <v>0.0</v>
      </c>
      <c r="AO282" s="71">
        <f t="shared" si="27"/>
        <v>0</v>
      </c>
      <c r="AP282" s="72" t="str">
        <f t="shared" si="29"/>
        <v/>
      </c>
      <c r="AQ282" s="24"/>
      <c r="AR282" s="24"/>
      <c r="AS282" s="24"/>
      <c r="AT282" s="24"/>
      <c r="AU282" s="24"/>
      <c r="AV282" s="24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</row>
    <row r="283" ht="18.75" customHeight="1">
      <c r="A283" s="23"/>
      <c r="B283" s="24"/>
      <c r="C283" s="24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>
        <f t="shared" si="28"/>
        <v>0</v>
      </c>
      <c r="AL283" s="24"/>
      <c r="AM283" s="24"/>
      <c r="AN283" s="70">
        <v>0.0</v>
      </c>
      <c r="AO283" s="71">
        <f t="shared" si="27"/>
        <v>0</v>
      </c>
      <c r="AP283" s="72" t="str">
        <f t="shared" si="29"/>
        <v/>
      </c>
      <c r="AQ283" s="24"/>
      <c r="AR283" s="24"/>
      <c r="AS283" s="24"/>
      <c r="AT283" s="24"/>
      <c r="AU283" s="24"/>
      <c r="AV283" s="24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</row>
    <row r="284" ht="18.75" customHeight="1">
      <c r="A284" s="23"/>
      <c r="B284" s="24"/>
      <c r="C284" s="24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>
        <f t="shared" si="28"/>
        <v>0</v>
      </c>
      <c r="AL284" s="24"/>
      <c r="AM284" s="24"/>
      <c r="AN284" s="70">
        <v>0.0</v>
      </c>
      <c r="AO284" s="71">
        <f t="shared" si="27"/>
        <v>0</v>
      </c>
      <c r="AP284" s="72" t="str">
        <f t="shared" si="29"/>
        <v/>
      </c>
      <c r="AQ284" s="24"/>
      <c r="AR284" s="24"/>
      <c r="AS284" s="24"/>
      <c r="AT284" s="24"/>
      <c r="AU284" s="24"/>
      <c r="AV284" s="24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</row>
    <row r="285" ht="18.75" customHeight="1">
      <c r="A285" s="23"/>
      <c r="B285" s="24"/>
      <c r="C285" s="24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>
        <f t="shared" si="28"/>
        <v>0</v>
      </c>
      <c r="AL285" s="24"/>
      <c r="AM285" s="24"/>
      <c r="AN285" s="70">
        <v>0.0</v>
      </c>
      <c r="AO285" s="71">
        <f t="shared" si="27"/>
        <v>0</v>
      </c>
      <c r="AP285" s="72" t="str">
        <f t="shared" si="29"/>
        <v/>
      </c>
      <c r="AQ285" s="24"/>
      <c r="AR285" s="24"/>
      <c r="AS285" s="24"/>
      <c r="AT285" s="24"/>
      <c r="AU285" s="24"/>
      <c r="AV285" s="24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</row>
    <row r="286" ht="18.75" customHeight="1">
      <c r="A286" s="23"/>
      <c r="B286" s="24"/>
      <c r="C286" s="24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>
        <f t="shared" si="28"/>
        <v>0</v>
      </c>
      <c r="AL286" s="24"/>
      <c r="AM286" s="24"/>
      <c r="AN286" s="70">
        <v>0.0</v>
      </c>
      <c r="AO286" s="71">
        <f t="shared" si="27"/>
        <v>0</v>
      </c>
      <c r="AP286" s="72" t="str">
        <f t="shared" si="29"/>
        <v/>
      </c>
      <c r="AQ286" s="24"/>
      <c r="AR286" s="24"/>
      <c r="AS286" s="24"/>
      <c r="AT286" s="24"/>
      <c r="AU286" s="24"/>
      <c r="AV286" s="24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</row>
    <row r="287" ht="18.75" customHeight="1">
      <c r="A287" s="23"/>
      <c r="B287" s="24"/>
      <c r="C287" s="24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>
        <f t="shared" si="28"/>
        <v>0</v>
      </c>
      <c r="AL287" s="24"/>
      <c r="AM287" s="24"/>
      <c r="AN287" s="70">
        <v>0.0</v>
      </c>
      <c r="AO287" s="71">
        <f t="shared" si="27"/>
        <v>0</v>
      </c>
      <c r="AP287" s="72" t="str">
        <f t="shared" si="29"/>
        <v/>
      </c>
      <c r="AQ287" s="24"/>
      <c r="AR287" s="24"/>
      <c r="AS287" s="24"/>
      <c r="AT287" s="24"/>
      <c r="AU287" s="24"/>
      <c r="AV287" s="24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</row>
    <row r="288" ht="18.75" customHeight="1">
      <c r="A288" s="23"/>
      <c r="B288" s="24"/>
      <c r="C288" s="24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>
        <f t="shared" si="28"/>
        <v>0</v>
      </c>
      <c r="AL288" s="24"/>
      <c r="AM288" s="24"/>
      <c r="AN288" s="70">
        <v>0.0</v>
      </c>
      <c r="AO288" s="71">
        <f t="shared" si="27"/>
        <v>0</v>
      </c>
      <c r="AP288" s="72" t="str">
        <f t="shared" si="29"/>
        <v/>
      </c>
      <c r="AQ288" s="24"/>
      <c r="AR288" s="24"/>
      <c r="AS288" s="24"/>
      <c r="AT288" s="24"/>
      <c r="AU288" s="24"/>
      <c r="AV288" s="24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</row>
    <row r="289" ht="18.75" customHeight="1">
      <c r="A289" s="23"/>
      <c r="B289" s="24"/>
      <c r="C289" s="24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>
        <f t="shared" si="28"/>
        <v>0</v>
      </c>
      <c r="AL289" s="24"/>
      <c r="AM289" s="24"/>
      <c r="AN289" s="70">
        <v>0.0</v>
      </c>
      <c r="AO289" s="71">
        <f t="shared" si="27"/>
        <v>0</v>
      </c>
      <c r="AP289" s="72" t="str">
        <f t="shared" si="29"/>
        <v/>
      </c>
      <c r="AQ289" s="24"/>
      <c r="AR289" s="24"/>
      <c r="AS289" s="24"/>
      <c r="AT289" s="24"/>
      <c r="AU289" s="24"/>
      <c r="AV289" s="24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</row>
    <row r="290" ht="18.75" customHeight="1">
      <c r="A290" s="23"/>
      <c r="B290" s="24"/>
      <c r="C290" s="24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>
        <f t="shared" si="28"/>
        <v>0</v>
      </c>
      <c r="AL290" s="24"/>
      <c r="AM290" s="24"/>
      <c r="AN290" s="70">
        <v>0.0</v>
      </c>
      <c r="AO290" s="71">
        <f t="shared" si="27"/>
        <v>0</v>
      </c>
      <c r="AP290" s="72" t="str">
        <f t="shared" si="29"/>
        <v/>
      </c>
      <c r="AQ290" s="24"/>
      <c r="AR290" s="24"/>
      <c r="AS290" s="24"/>
      <c r="AT290" s="24"/>
      <c r="AU290" s="24"/>
      <c r="AV290" s="24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</row>
    <row r="291" ht="18.75" customHeight="1">
      <c r="A291" s="23"/>
      <c r="B291" s="24"/>
      <c r="C291" s="24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>
        <f t="shared" si="28"/>
        <v>0</v>
      </c>
      <c r="AL291" s="24"/>
      <c r="AM291" s="24"/>
      <c r="AN291" s="70">
        <v>0.0</v>
      </c>
      <c r="AO291" s="71">
        <f t="shared" si="27"/>
        <v>0</v>
      </c>
      <c r="AP291" s="72" t="str">
        <f t="shared" si="29"/>
        <v/>
      </c>
      <c r="AQ291" s="24"/>
      <c r="AR291" s="24"/>
      <c r="AS291" s="24"/>
      <c r="AT291" s="24"/>
      <c r="AU291" s="24"/>
      <c r="AV291" s="24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</row>
    <row r="292" ht="18.75" customHeight="1">
      <c r="A292" s="23"/>
      <c r="B292" s="24"/>
      <c r="C292" s="24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>
        <f t="shared" si="28"/>
        <v>0</v>
      </c>
      <c r="AL292" s="24"/>
      <c r="AM292" s="24"/>
      <c r="AN292" s="70">
        <v>0.0</v>
      </c>
      <c r="AO292" s="71">
        <f t="shared" si="27"/>
        <v>0</v>
      </c>
      <c r="AP292" s="72" t="str">
        <f t="shared" si="29"/>
        <v/>
      </c>
      <c r="AQ292" s="24"/>
      <c r="AR292" s="24"/>
      <c r="AS292" s="24"/>
      <c r="AT292" s="24"/>
      <c r="AU292" s="24"/>
      <c r="AV292" s="24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</row>
    <row r="293" ht="18.75" customHeight="1">
      <c r="A293" s="23"/>
      <c r="B293" s="24"/>
      <c r="C293" s="24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>
        <f t="shared" si="28"/>
        <v>0</v>
      </c>
      <c r="AL293" s="24"/>
      <c r="AM293" s="24"/>
      <c r="AN293" s="70">
        <v>0.0</v>
      </c>
      <c r="AO293" s="71">
        <f t="shared" si="27"/>
        <v>0</v>
      </c>
      <c r="AP293" s="72" t="str">
        <f t="shared" si="29"/>
        <v/>
      </c>
      <c r="AQ293" s="24"/>
      <c r="AR293" s="24"/>
      <c r="AS293" s="24"/>
      <c r="AT293" s="24"/>
      <c r="AU293" s="24"/>
      <c r="AV293" s="24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</row>
    <row r="294" ht="18.75" customHeight="1">
      <c r="A294" s="23"/>
      <c r="B294" s="24"/>
      <c r="C294" s="24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>
        <f t="shared" si="28"/>
        <v>0</v>
      </c>
      <c r="AL294" s="24"/>
      <c r="AM294" s="24"/>
      <c r="AN294" s="70">
        <v>0.0</v>
      </c>
      <c r="AO294" s="71">
        <f t="shared" si="27"/>
        <v>0</v>
      </c>
      <c r="AP294" s="72" t="str">
        <f t="shared" si="29"/>
        <v/>
      </c>
      <c r="AQ294" s="24"/>
      <c r="AR294" s="24"/>
      <c r="AS294" s="24"/>
      <c r="AT294" s="24"/>
      <c r="AU294" s="24"/>
      <c r="AV294" s="24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</row>
    <row r="295" ht="18.75" customHeight="1">
      <c r="A295" s="23"/>
      <c r="B295" s="24"/>
      <c r="C295" s="24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>
        <f t="shared" si="28"/>
        <v>0</v>
      </c>
      <c r="AL295" s="24"/>
      <c r="AM295" s="24"/>
      <c r="AN295" s="70">
        <v>0.0</v>
      </c>
      <c r="AO295" s="71">
        <f t="shared" si="27"/>
        <v>0</v>
      </c>
      <c r="AP295" s="72" t="str">
        <f t="shared" si="29"/>
        <v/>
      </c>
      <c r="AQ295" s="24"/>
      <c r="AR295" s="24"/>
      <c r="AS295" s="24"/>
      <c r="AT295" s="24"/>
      <c r="AU295" s="24"/>
      <c r="AV295" s="24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  <c r="BP295" s="38"/>
      <c r="BQ295" s="38"/>
      <c r="BR295" s="38"/>
      <c r="BS295" s="38"/>
      <c r="BT295" s="38"/>
      <c r="BU295" s="38"/>
      <c r="BV295" s="38"/>
    </row>
    <row r="296" ht="18.75" customHeight="1">
      <c r="A296" s="23"/>
      <c r="B296" s="24"/>
      <c r="C296" s="24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>
        <f t="shared" si="28"/>
        <v>0</v>
      </c>
      <c r="AL296" s="24"/>
      <c r="AM296" s="24"/>
      <c r="AN296" s="70">
        <v>0.0</v>
      </c>
      <c r="AO296" s="71">
        <f t="shared" si="27"/>
        <v>0</v>
      </c>
      <c r="AP296" s="72" t="str">
        <f t="shared" si="29"/>
        <v/>
      </c>
      <c r="AQ296" s="24"/>
      <c r="AR296" s="24"/>
      <c r="AS296" s="24"/>
      <c r="AT296" s="24"/>
      <c r="AU296" s="24"/>
      <c r="AV296" s="24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  <c r="BP296" s="38"/>
      <c r="BQ296" s="38"/>
      <c r="BR296" s="38"/>
      <c r="BS296" s="38"/>
      <c r="BT296" s="38"/>
      <c r="BU296" s="38"/>
      <c r="BV296" s="38"/>
    </row>
    <row r="297" ht="18.75" customHeight="1">
      <c r="A297" s="23"/>
      <c r="B297" s="24"/>
      <c r="C297" s="24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>
        <f t="shared" si="28"/>
        <v>0</v>
      </c>
      <c r="AL297" s="24"/>
      <c r="AM297" s="24"/>
      <c r="AN297" s="70">
        <v>0.0</v>
      </c>
      <c r="AO297" s="71">
        <f t="shared" si="27"/>
        <v>0</v>
      </c>
      <c r="AP297" s="72" t="str">
        <f t="shared" si="29"/>
        <v/>
      </c>
      <c r="AQ297" s="24"/>
      <c r="AR297" s="24"/>
      <c r="AS297" s="24"/>
      <c r="AT297" s="24"/>
      <c r="AU297" s="24"/>
      <c r="AV297" s="24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  <c r="BP297" s="38"/>
      <c r="BQ297" s="38"/>
      <c r="BR297" s="38"/>
      <c r="BS297" s="38"/>
      <c r="BT297" s="38"/>
      <c r="BU297" s="38"/>
      <c r="BV297" s="38"/>
    </row>
    <row r="298" ht="18.75" customHeight="1">
      <c r="A298" s="23"/>
      <c r="B298" s="24"/>
      <c r="C298" s="24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>
        <f t="shared" si="28"/>
        <v>0</v>
      </c>
      <c r="AL298" s="24"/>
      <c r="AM298" s="24"/>
      <c r="AN298" s="70">
        <v>0.0</v>
      </c>
      <c r="AO298" s="71">
        <f t="shared" si="27"/>
        <v>0</v>
      </c>
      <c r="AP298" s="72" t="str">
        <f t="shared" si="29"/>
        <v/>
      </c>
      <c r="AQ298" s="24"/>
      <c r="AR298" s="24"/>
      <c r="AS298" s="24"/>
      <c r="AT298" s="24"/>
      <c r="AU298" s="24"/>
      <c r="AV298" s="24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  <c r="BQ298" s="38"/>
      <c r="BR298" s="38"/>
      <c r="BS298" s="38"/>
      <c r="BT298" s="38"/>
      <c r="BU298" s="38"/>
      <c r="BV298" s="38"/>
    </row>
    <row r="299" ht="18.75" customHeight="1">
      <c r="A299" s="23"/>
      <c r="B299" s="24"/>
      <c r="C299" s="24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>
        <f t="shared" si="28"/>
        <v>0</v>
      </c>
      <c r="AL299" s="24"/>
      <c r="AM299" s="24"/>
      <c r="AN299" s="70">
        <v>0.0</v>
      </c>
      <c r="AO299" s="71">
        <f t="shared" si="27"/>
        <v>0</v>
      </c>
      <c r="AP299" s="72" t="str">
        <f t="shared" si="29"/>
        <v/>
      </c>
      <c r="AQ299" s="24"/>
      <c r="AR299" s="24"/>
      <c r="AS299" s="24"/>
      <c r="AT299" s="24"/>
      <c r="AU299" s="24"/>
      <c r="AV299" s="24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  <c r="BP299" s="38"/>
      <c r="BQ299" s="38"/>
      <c r="BR299" s="38"/>
      <c r="BS299" s="38"/>
      <c r="BT299" s="38"/>
      <c r="BU299" s="38"/>
      <c r="BV299" s="38"/>
    </row>
    <row r="300" ht="18.75" customHeight="1">
      <c r="A300" s="23"/>
      <c r="B300" s="24"/>
      <c r="C300" s="24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>
        <f t="shared" si="28"/>
        <v>0</v>
      </c>
      <c r="AL300" s="24"/>
      <c r="AM300" s="24"/>
      <c r="AN300" s="70">
        <v>0.0</v>
      </c>
      <c r="AO300" s="71">
        <f t="shared" si="27"/>
        <v>0</v>
      </c>
      <c r="AP300" s="72" t="str">
        <f t="shared" si="29"/>
        <v/>
      </c>
      <c r="AQ300" s="24"/>
      <c r="AR300" s="24"/>
      <c r="AS300" s="24"/>
      <c r="AT300" s="24"/>
      <c r="AU300" s="24"/>
      <c r="AV300" s="24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  <c r="BP300" s="38"/>
      <c r="BQ300" s="38"/>
      <c r="BR300" s="38"/>
      <c r="BS300" s="38"/>
      <c r="BT300" s="38"/>
      <c r="BU300" s="38"/>
      <c r="BV300" s="38"/>
    </row>
    <row r="301" ht="18.75" customHeight="1">
      <c r="A301" s="23"/>
      <c r="B301" s="24"/>
      <c r="C301" s="24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>
        <f t="shared" si="28"/>
        <v>0</v>
      </c>
      <c r="AL301" s="24"/>
      <c r="AM301" s="24"/>
      <c r="AN301" s="70">
        <v>0.0</v>
      </c>
      <c r="AO301" s="71">
        <f t="shared" si="27"/>
        <v>0</v>
      </c>
      <c r="AP301" s="72" t="str">
        <f t="shared" si="29"/>
        <v/>
      </c>
      <c r="AQ301" s="24"/>
      <c r="AR301" s="24"/>
      <c r="AS301" s="24"/>
      <c r="AT301" s="24"/>
      <c r="AU301" s="24"/>
      <c r="AV301" s="24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  <c r="BQ301" s="38"/>
      <c r="BR301" s="38"/>
      <c r="BS301" s="38"/>
      <c r="BT301" s="38"/>
      <c r="BU301" s="38"/>
      <c r="BV301" s="38"/>
    </row>
    <row r="302" ht="18.75" customHeight="1">
      <c r="A302" s="23"/>
      <c r="B302" s="24"/>
      <c r="C302" s="24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>
        <f t="shared" si="28"/>
        <v>0</v>
      </c>
      <c r="AL302" s="24"/>
      <c r="AM302" s="24"/>
      <c r="AN302" s="70">
        <v>0.0</v>
      </c>
      <c r="AO302" s="71">
        <f t="shared" si="27"/>
        <v>0</v>
      </c>
      <c r="AP302" s="72" t="str">
        <f t="shared" si="29"/>
        <v/>
      </c>
      <c r="AQ302" s="24"/>
      <c r="AR302" s="24"/>
      <c r="AS302" s="24"/>
      <c r="AT302" s="24"/>
      <c r="AU302" s="24"/>
      <c r="AV302" s="24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  <c r="BQ302" s="38"/>
      <c r="BR302" s="38"/>
      <c r="BS302" s="38"/>
      <c r="BT302" s="38"/>
      <c r="BU302" s="38"/>
      <c r="BV302" s="38"/>
    </row>
    <row r="303" ht="18.75" customHeight="1">
      <c r="A303" s="23"/>
      <c r="B303" s="24"/>
      <c r="C303" s="24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>
        <f t="shared" si="28"/>
        <v>0</v>
      </c>
      <c r="AL303" s="24"/>
      <c r="AM303" s="24"/>
      <c r="AN303" s="70">
        <v>0.0</v>
      </c>
      <c r="AO303" s="71">
        <f t="shared" si="27"/>
        <v>0</v>
      </c>
      <c r="AP303" s="72" t="str">
        <f t="shared" si="29"/>
        <v/>
      </c>
      <c r="AQ303" s="24"/>
      <c r="AR303" s="24"/>
      <c r="AS303" s="24"/>
      <c r="AT303" s="24"/>
      <c r="AU303" s="24"/>
      <c r="AV303" s="24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  <c r="BP303" s="38"/>
      <c r="BQ303" s="38"/>
      <c r="BR303" s="38"/>
      <c r="BS303" s="38"/>
      <c r="BT303" s="38"/>
      <c r="BU303" s="38"/>
      <c r="BV303" s="38"/>
    </row>
    <row r="304" ht="18.75" customHeight="1">
      <c r="A304" s="23"/>
      <c r="B304" s="24"/>
      <c r="C304" s="24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>
        <f t="shared" si="28"/>
        <v>0</v>
      </c>
      <c r="AL304" s="24"/>
      <c r="AM304" s="24"/>
      <c r="AN304" s="70">
        <v>0.0</v>
      </c>
      <c r="AO304" s="71">
        <f t="shared" si="27"/>
        <v>0</v>
      </c>
      <c r="AP304" s="72" t="str">
        <f t="shared" si="29"/>
        <v/>
      </c>
      <c r="AQ304" s="24"/>
      <c r="AR304" s="24"/>
      <c r="AS304" s="24"/>
      <c r="AT304" s="24"/>
      <c r="AU304" s="24"/>
      <c r="AV304" s="24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8"/>
      <c r="BU304" s="38"/>
      <c r="BV304" s="38"/>
    </row>
    <row r="305" ht="18.75" customHeight="1">
      <c r="A305" s="23"/>
      <c r="B305" s="24"/>
      <c r="C305" s="24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>
        <f t="shared" si="28"/>
        <v>0</v>
      </c>
      <c r="AL305" s="24"/>
      <c r="AM305" s="24"/>
      <c r="AN305" s="70">
        <v>0.0</v>
      </c>
      <c r="AO305" s="71">
        <f t="shared" si="27"/>
        <v>0</v>
      </c>
      <c r="AP305" s="72" t="str">
        <f t="shared" si="29"/>
        <v/>
      </c>
      <c r="AQ305" s="24"/>
      <c r="AR305" s="24"/>
      <c r="AS305" s="24"/>
      <c r="AT305" s="24"/>
      <c r="AU305" s="24"/>
      <c r="AV305" s="24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  <c r="BP305" s="38"/>
      <c r="BQ305" s="38"/>
      <c r="BR305" s="38"/>
      <c r="BS305" s="38"/>
      <c r="BT305" s="38"/>
      <c r="BU305" s="38"/>
      <c r="BV305" s="38"/>
    </row>
    <row r="306" ht="18.75" customHeight="1">
      <c r="A306" s="23"/>
      <c r="B306" s="24"/>
      <c r="C306" s="24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>
        <f t="shared" si="28"/>
        <v>0</v>
      </c>
      <c r="AL306" s="24"/>
      <c r="AM306" s="24"/>
      <c r="AN306" s="70">
        <v>0.0</v>
      </c>
      <c r="AO306" s="71">
        <f t="shared" si="27"/>
        <v>0</v>
      </c>
      <c r="AP306" s="72" t="str">
        <f t="shared" si="29"/>
        <v/>
      </c>
      <c r="AQ306" s="24"/>
      <c r="AR306" s="24"/>
      <c r="AS306" s="24"/>
      <c r="AT306" s="24"/>
      <c r="AU306" s="24"/>
      <c r="AV306" s="24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  <c r="BP306" s="38"/>
      <c r="BQ306" s="38"/>
      <c r="BR306" s="38"/>
      <c r="BS306" s="38"/>
      <c r="BT306" s="38"/>
      <c r="BU306" s="38"/>
      <c r="BV306" s="38"/>
    </row>
    <row r="307" ht="18.75" customHeight="1">
      <c r="A307" s="23"/>
      <c r="B307" s="24"/>
      <c r="C307" s="24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>
        <f t="shared" si="28"/>
        <v>0</v>
      </c>
      <c r="AL307" s="24"/>
      <c r="AM307" s="24"/>
      <c r="AN307" s="70">
        <v>0.0</v>
      </c>
      <c r="AO307" s="71">
        <f t="shared" si="27"/>
        <v>0</v>
      </c>
      <c r="AP307" s="72" t="str">
        <f t="shared" si="29"/>
        <v/>
      </c>
      <c r="AQ307" s="24"/>
      <c r="AR307" s="24"/>
      <c r="AS307" s="24"/>
      <c r="AT307" s="24"/>
      <c r="AU307" s="24"/>
      <c r="AV307" s="24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  <c r="BP307" s="38"/>
      <c r="BQ307" s="38"/>
      <c r="BR307" s="38"/>
      <c r="BS307" s="38"/>
      <c r="BT307" s="38"/>
      <c r="BU307" s="38"/>
      <c r="BV307" s="38"/>
    </row>
    <row r="308" ht="18.75" customHeight="1">
      <c r="A308" s="23"/>
      <c r="B308" s="24"/>
      <c r="C308" s="24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>
        <f t="shared" si="28"/>
        <v>0</v>
      </c>
      <c r="AL308" s="24"/>
      <c r="AM308" s="24"/>
      <c r="AN308" s="70">
        <v>0.0</v>
      </c>
      <c r="AO308" s="71">
        <f t="shared" si="27"/>
        <v>0</v>
      </c>
      <c r="AP308" s="72" t="str">
        <f t="shared" si="29"/>
        <v/>
      </c>
      <c r="AQ308" s="24"/>
      <c r="AR308" s="24"/>
      <c r="AS308" s="24"/>
      <c r="AT308" s="24"/>
      <c r="AU308" s="24"/>
      <c r="AV308" s="24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  <c r="BQ308" s="38"/>
      <c r="BR308" s="38"/>
      <c r="BS308" s="38"/>
      <c r="BT308" s="38"/>
      <c r="BU308" s="38"/>
      <c r="BV308" s="38"/>
    </row>
    <row r="309" ht="18.75" customHeight="1">
      <c r="A309" s="23"/>
      <c r="B309" s="24"/>
      <c r="C309" s="24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>
        <f t="shared" si="28"/>
        <v>0</v>
      </c>
      <c r="AL309" s="24"/>
      <c r="AM309" s="24"/>
      <c r="AN309" s="70">
        <v>0.0</v>
      </c>
      <c r="AO309" s="71">
        <f t="shared" si="27"/>
        <v>0</v>
      </c>
      <c r="AP309" s="72" t="str">
        <f t="shared" si="29"/>
        <v/>
      </c>
      <c r="AQ309" s="24"/>
      <c r="AR309" s="24"/>
      <c r="AS309" s="24"/>
      <c r="AT309" s="24"/>
      <c r="AU309" s="24"/>
      <c r="AV309" s="24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  <c r="BP309" s="38"/>
      <c r="BQ309" s="38"/>
      <c r="BR309" s="38"/>
      <c r="BS309" s="38"/>
      <c r="BT309" s="38"/>
      <c r="BU309" s="38"/>
      <c r="BV309" s="38"/>
    </row>
    <row r="310" ht="18.75" customHeight="1">
      <c r="A310" s="23"/>
      <c r="B310" s="24"/>
      <c r="C310" s="24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>
        <f t="shared" si="28"/>
        <v>0</v>
      </c>
      <c r="AL310" s="24"/>
      <c r="AM310" s="24"/>
      <c r="AN310" s="70">
        <v>0.0</v>
      </c>
      <c r="AO310" s="71">
        <f t="shared" si="27"/>
        <v>0</v>
      </c>
      <c r="AP310" s="72" t="str">
        <f t="shared" si="29"/>
        <v/>
      </c>
      <c r="AQ310" s="24"/>
      <c r="AR310" s="24"/>
      <c r="AS310" s="24"/>
      <c r="AT310" s="24"/>
      <c r="AU310" s="24"/>
      <c r="AV310" s="24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  <c r="BP310" s="38"/>
      <c r="BQ310" s="38"/>
      <c r="BR310" s="38"/>
      <c r="BS310" s="38"/>
      <c r="BT310" s="38"/>
      <c r="BU310" s="38"/>
      <c r="BV310" s="38"/>
    </row>
    <row r="311" ht="18.75" customHeight="1">
      <c r="A311" s="23"/>
      <c r="B311" s="24"/>
      <c r="C311" s="24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>
        <f t="shared" si="28"/>
        <v>0</v>
      </c>
      <c r="AL311" s="24"/>
      <c r="AM311" s="24"/>
      <c r="AN311" s="70">
        <v>0.0</v>
      </c>
      <c r="AO311" s="71">
        <f t="shared" si="27"/>
        <v>0</v>
      </c>
      <c r="AP311" s="72" t="str">
        <f t="shared" si="29"/>
        <v/>
      </c>
      <c r="AQ311" s="24"/>
      <c r="AR311" s="24"/>
      <c r="AS311" s="24"/>
      <c r="AT311" s="24"/>
      <c r="AU311" s="24"/>
      <c r="AV311" s="24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  <c r="BQ311" s="38"/>
      <c r="BR311" s="38"/>
      <c r="BS311" s="38"/>
      <c r="BT311" s="38"/>
      <c r="BU311" s="38"/>
      <c r="BV311" s="38"/>
    </row>
    <row r="312" ht="18.75" customHeight="1">
      <c r="A312" s="23"/>
      <c r="B312" s="24"/>
      <c r="C312" s="24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>
        <f t="shared" si="28"/>
        <v>0</v>
      </c>
      <c r="AL312" s="24"/>
      <c r="AM312" s="24"/>
      <c r="AN312" s="70">
        <v>0.0</v>
      </c>
      <c r="AO312" s="71">
        <f t="shared" si="27"/>
        <v>0</v>
      </c>
      <c r="AP312" s="72" t="str">
        <f t="shared" si="29"/>
        <v/>
      </c>
      <c r="AQ312" s="24"/>
      <c r="AR312" s="24"/>
      <c r="AS312" s="24"/>
      <c r="AT312" s="24"/>
      <c r="AU312" s="24"/>
      <c r="AV312" s="24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  <c r="BQ312" s="38"/>
      <c r="BR312" s="38"/>
      <c r="BS312" s="38"/>
      <c r="BT312" s="38"/>
      <c r="BU312" s="38"/>
      <c r="BV312" s="38"/>
    </row>
    <row r="313" ht="18.75" customHeight="1">
      <c r="A313" s="23"/>
      <c r="B313" s="24"/>
      <c r="C313" s="24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>
        <f t="shared" si="28"/>
        <v>0</v>
      </c>
      <c r="AL313" s="24"/>
      <c r="AM313" s="24"/>
      <c r="AN313" s="70">
        <v>0.0</v>
      </c>
      <c r="AO313" s="71">
        <f t="shared" si="27"/>
        <v>0</v>
      </c>
      <c r="AP313" s="72" t="str">
        <f t="shared" si="29"/>
        <v/>
      </c>
      <c r="AQ313" s="24"/>
      <c r="AR313" s="24"/>
      <c r="AS313" s="24"/>
      <c r="AT313" s="24"/>
      <c r="AU313" s="24"/>
      <c r="AV313" s="24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  <c r="BS313" s="38"/>
      <c r="BT313" s="38"/>
      <c r="BU313" s="38"/>
      <c r="BV313" s="38"/>
    </row>
    <row r="314" ht="18.75" customHeight="1">
      <c r="A314" s="23"/>
      <c r="B314" s="24"/>
      <c r="C314" s="24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>
        <f t="shared" si="28"/>
        <v>0</v>
      </c>
      <c r="AL314" s="24"/>
      <c r="AM314" s="24"/>
      <c r="AN314" s="70">
        <v>0.0</v>
      </c>
      <c r="AO314" s="71">
        <f t="shared" si="27"/>
        <v>0</v>
      </c>
      <c r="AP314" s="72" t="str">
        <f t="shared" si="29"/>
        <v/>
      </c>
      <c r="AQ314" s="24"/>
      <c r="AR314" s="24"/>
      <c r="AS314" s="24"/>
      <c r="AT314" s="24"/>
      <c r="AU314" s="24"/>
      <c r="AV314" s="24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  <c r="BS314" s="38"/>
      <c r="BT314" s="38"/>
      <c r="BU314" s="38"/>
      <c r="BV314" s="38"/>
    </row>
    <row r="315" ht="18.75" customHeight="1">
      <c r="A315" s="23"/>
      <c r="B315" s="24"/>
      <c r="C315" s="24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>
        <f t="shared" si="28"/>
        <v>0</v>
      </c>
      <c r="AL315" s="24"/>
      <c r="AM315" s="24"/>
      <c r="AN315" s="70">
        <v>0.0</v>
      </c>
      <c r="AO315" s="71">
        <f t="shared" si="27"/>
        <v>0</v>
      </c>
      <c r="AP315" s="72" t="str">
        <f t="shared" si="29"/>
        <v/>
      </c>
      <c r="AQ315" s="24"/>
      <c r="AR315" s="24"/>
      <c r="AS315" s="24"/>
      <c r="AT315" s="24"/>
      <c r="AU315" s="24"/>
      <c r="AV315" s="24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  <c r="BS315" s="38"/>
      <c r="BT315" s="38"/>
      <c r="BU315" s="38"/>
      <c r="BV315" s="38"/>
    </row>
    <row r="316" ht="18.75" customHeight="1">
      <c r="A316" s="23"/>
      <c r="B316" s="24"/>
      <c r="C316" s="24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>
        <f t="shared" si="28"/>
        <v>0</v>
      </c>
      <c r="AL316" s="24"/>
      <c r="AM316" s="24"/>
      <c r="AN316" s="70">
        <v>0.0</v>
      </c>
      <c r="AO316" s="71">
        <f t="shared" si="27"/>
        <v>0</v>
      </c>
      <c r="AP316" s="72" t="str">
        <f t="shared" si="29"/>
        <v/>
      </c>
      <c r="AQ316" s="24"/>
      <c r="AR316" s="24"/>
      <c r="AS316" s="24"/>
      <c r="AT316" s="24"/>
      <c r="AU316" s="24"/>
      <c r="AV316" s="24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  <c r="BS316" s="38"/>
      <c r="BT316" s="38"/>
      <c r="BU316" s="38"/>
      <c r="BV316" s="38"/>
    </row>
    <row r="317" ht="18.75" customHeight="1">
      <c r="A317" s="23"/>
      <c r="B317" s="24"/>
      <c r="C317" s="24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>
        <f t="shared" si="28"/>
        <v>0</v>
      </c>
      <c r="AL317" s="24"/>
      <c r="AM317" s="24"/>
      <c r="AN317" s="70">
        <v>0.0</v>
      </c>
      <c r="AO317" s="71">
        <f t="shared" si="27"/>
        <v>0</v>
      </c>
      <c r="AP317" s="72" t="str">
        <f t="shared" si="29"/>
        <v/>
      </c>
      <c r="AQ317" s="24"/>
      <c r="AR317" s="24"/>
      <c r="AS317" s="24"/>
      <c r="AT317" s="24"/>
      <c r="AU317" s="24"/>
      <c r="AV317" s="24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  <c r="BT317" s="38"/>
      <c r="BU317" s="38"/>
      <c r="BV317" s="38"/>
    </row>
    <row r="318" ht="18.75" customHeight="1">
      <c r="A318" s="23"/>
      <c r="B318" s="24"/>
      <c r="C318" s="24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>
        <f t="shared" si="28"/>
        <v>0</v>
      </c>
      <c r="AL318" s="24"/>
      <c r="AM318" s="24"/>
      <c r="AN318" s="70">
        <v>0.0</v>
      </c>
      <c r="AO318" s="71">
        <f t="shared" si="27"/>
        <v>0</v>
      </c>
      <c r="AP318" s="72" t="str">
        <f t="shared" si="29"/>
        <v/>
      </c>
      <c r="AQ318" s="24"/>
      <c r="AR318" s="24"/>
      <c r="AS318" s="24"/>
      <c r="AT318" s="24"/>
      <c r="AU318" s="24"/>
      <c r="AV318" s="24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8"/>
      <c r="BU318" s="38"/>
      <c r="BV318" s="38"/>
    </row>
    <row r="319" ht="18.75" customHeight="1">
      <c r="A319" s="23"/>
      <c r="B319" s="24"/>
      <c r="C319" s="24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>
        <f t="shared" si="28"/>
        <v>0</v>
      </c>
      <c r="AL319" s="24"/>
      <c r="AM319" s="24"/>
      <c r="AN319" s="70">
        <v>0.0</v>
      </c>
      <c r="AO319" s="71">
        <f t="shared" si="27"/>
        <v>0</v>
      </c>
      <c r="AP319" s="72" t="str">
        <f t="shared" si="29"/>
        <v/>
      </c>
      <c r="AQ319" s="24"/>
      <c r="AR319" s="24"/>
      <c r="AS319" s="24"/>
      <c r="AT319" s="24"/>
      <c r="AU319" s="24"/>
      <c r="AV319" s="24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  <c r="BS319" s="38"/>
      <c r="BT319" s="38"/>
      <c r="BU319" s="38"/>
      <c r="BV319" s="38"/>
    </row>
    <row r="320" ht="18.75" customHeight="1">
      <c r="A320" s="23"/>
      <c r="B320" s="24"/>
      <c r="C320" s="24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>
        <f t="shared" si="28"/>
        <v>0</v>
      </c>
      <c r="AL320" s="24"/>
      <c r="AM320" s="24"/>
      <c r="AN320" s="70">
        <v>0.0</v>
      </c>
      <c r="AO320" s="71">
        <f t="shared" si="27"/>
        <v>0</v>
      </c>
      <c r="AP320" s="72" t="str">
        <f t="shared" si="29"/>
        <v/>
      </c>
      <c r="AQ320" s="24"/>
      <c r="AR320" s="24"/>
      <c r="AS320" s="24"/>
      <c r="AT320" s="24"/>
      <c r="AU320" s="24"/>
      <c r="AV320" s="24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38"/>
      <c r="BS320" s="38"/>
      <c r="BT320" s="38"/>
      <c r="BU320" s="38"/>
      <c r="BV320" s="38"/>
    </row>
    <row r="321" ht="18.75" customHeight="1">
      <c r="A321" s="23"/>
      <c r="B321" s="24"/>
      <c r="C321" s="24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>
        <f t="shared" si="28"/>
        <v>0</v>
      </c>
      <c r="AL321" s="24"/>
      <c r="AM321" s="24"/>
      <c r="AN321" s="70">
        <v>0.0</v>
      </c>
      <c r="AO321" s="71">
        <f t="shared" si="27"/>
        <v>0</v>
      </c>
      <c r="AP321" s="72" t="str">
        <f t="shared" si="29"/>
        <v/>
      </c>
      <c r="AQ321" s="24"/>
      <c r="AR321" s="24"/>
      <c r="AS321" s="24"/>
      <c r="AT321" s="24"/>
      <c r="AU321" s="24"/>
      <c r="AV321" s="24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  <c r="BQ321" s="38"/>
      <c r="BR321" s="38"/>
      <c r="BS321" s="38"/>
      <c r="BT321" s="38"/>
      <c r="BU321" s="38"/>
      <c r="BV321" s="38"/>
    </row>
    <row r="322" ht="18.75" customHeight="1">
      <c r="A322" s="23"/>
      <c r="B322" s="24"/>
      <c r="C322" s="24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>
        <f t="shared" si="28"/>
        <v>0</v>
      </c>
      <c r="AL322" s="24"/>
      <c r="AM322" s="24"/>
      <c r="AN322" s="70">
        <v>0.0</v>
      </c>
      <c r="AO322" s="71">
        <f t="shared" si="27"/>
        <v>0</v>
      </c>
      <c r="AP322" s="72" t="str">
        <f t="shared" si="29"/>
        <v/>
      </c>
      <c r="AQ322" s="24"/>
      <c r="AR322" s="24"/>
      <c r="AS322" s="24"/>
      <c r="AT322" s="24"/>
      <c r="AU322" s="24"/>
      <c r="AV322" s="24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  <c r="BQ322" s="38"/>
      <c r="BR322" s="38"/>
      <c r="BS322" s="38"/>
      <c r="BT322" s="38"/>
      <c r="BU322" s="38"/>
      <c r="BV322" s="38"/>
    </row>
    <row r="323" ht="18.75" customHeight="1">
      <c r="A323" s="23"/>
      <c r="B323" s="24"/>
      <c r="C323" s="24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>
        <f t="shared" si="28"/>
        <v>0</v>
      </c>
      <c r="AL323" s="24"/>
      <c r="AM323" s="24"/>
      <c r="AN323" s="70">
        <v>0.0</v>
      </c>
      <c r="AO323" s="71">
        <f t="shared" si="27"/>
        <v>0</v>
      </c>
      <c r="AP323" s="72" t="str">
        <f t="shared" si="29"/>
        <v/>
      </c>
      <c r="AQ323" s="24"/>
      <c r="AR323" s="24"/>
      <c r="AS323" s="24"/>
      <c r="AT323" s="24"/>
      <c r="AU323" s="24"/>
      <c r="AV323" s="24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38"/>
      <c r="BS323" s="38"/>
      <c r="BT323" s="38"/>
      <c r="BU323" s="38"/>
      <c r="BV323" s="38"/>
    </row>
    <row r="324" ht="18.75" customHeight="1">
      <c r="A324" s="23"/>
      <c r="B324" s="24"/>
      <c r="C324" s="24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>
        <f t="shared" si="28"/>
        <v>0</v>
      </c>
      <c r="AL324" s="24"/>
      <c r="AM324" s="24"/>
      <c r="AN324" s="70">
        <v>0.0</v>
      </c>
      <c r="AO324" s="71">
        <f t="shared" si="27"/>
        <v>0</v>
      </c>
      <c r="AP324" s="72" t="str">
        <f t="shared" si="29"/>
        <v/>
      </c>
      <c r="AQ324" s="24"/>
      <c r="AR324" s="24"/>
      <c r="AS324" s="24"/>
      <c r="AT324" s="24"/>
      <c r="AU324" s="24"/>
      <c r="AV324" s="24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  <c r="BQ324" s="38"/>
      <c r="BR324" s="38"/>
      <c r="BS324" s="38"/>
      <c r="BT324" s="38"/>
      <c r="BU324" s="38"/>
      <c r="BV324" s="38"/>
    </row>
    <row r="325" ht="18.75" customHeight="1">
      <c r="A325" s="23"/>
      <c r="B325" s="24"/>
      <c r="C325" s="24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>
        <f t="shared" si="28"/>
        <v>0</v>
      </c>
      <c r="AL325" s="24"/>
      <c r="AM325" s="24"/>
      <c r="AN325" s="70">
        <v>0.0</v>
      </c>
      <c r="AO325" s="71">
        <f t="shared" si="27"/>
        <v>0</v>
      </c>
      <c r="AP325" s="72" t="str">
        <f t="shared" si="29"/>
        <v/>
      </c>
      <c r="AQ325" s="24"/>
      <c r="AR325" s="24"/>
      <c r="AS325" s="24"/>
      <c r="AT325" s="24"/>
      <c r="AU325" s="24"/>
      <c r="AV325" s="24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  <c r="BS325" s="38"/>
      <c r="BT325" s="38"/>
      <c r="BU325" s="38"/>
      <c r="BV325" s="38"/>
    </row>
    <row r="326" ht="18.75" customHeight="1">
      <c r="A326" s="23"/>
      <c r="B326" s="24"/>
      <c r="C326" s="24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>
        <f t="shared" si="28"/>
        <v>0</v>
      </c>
      <c r="AL326" s="24"/>
      <c r="AM326" s="24"/>
      <c r="AN326" s="70">
        <v>0.0</v>
      </c>
      <c r="AO326" s="71">
        <f t="shared" si="27"/>
        <v>0</v>
      </c>
      <c r="AP326" s="72" t="str">
        <f t="shared" si="29"/>
        <v/>
      </c>
      <c r="AQ326" s="24"/>
      <c r="AR326" s="24"/>
      <c r="AS326" s="24"/>
      <c r="AT326" s="24"/>
      <c r="AU326" s="24"/>
      <c r="AV326" s="24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  <c r="BQ326" s="38"/>
      <c r="BR326" s="38"/>
      <c r="BS326" s="38"/>
      <c r="BT326" s="38"/>
      <c r="BU326" s="38"/>
      <c r="BV326" s="38"/>
    </row>
    <row r="327" ht="18.75" customHeight="1">
      <c r="A327" s="23"/>
      <c r="B327" s="24"/>
      <c r="C327" s="24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>
        <f t="shared" si="28"/>
        <v>0</v>
      </c>
      <c r="AL327" s="24"/>
      <c r="AM327" s="24"/>
      <c r="AN327" s="70">
        <v>0.0</v>
      </c>
      <c r="AO327" s="71">
        <f t="shared" si="27"/>
        <v>0</v>
      </c>
      <c r="AP327" s="72" t="str">
        <f t="shared" si="29"/>
        <v/>
      </c>
      <c r="AQ327" s="24"/>
      <c r="AR327" s="24"/>
      <c r="AS327" s="24"/>
      <c r="AT327" s="24"/>
      <c r="AU327" s="24"/>
      <c r="AV327" s="24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  <c r="BQ327" s="38"/>
      <c r="BR327" s="38"/>
      <c r="BS327" s="38"/>
      <c r="BT327" s="38"/>
      <c r="BU327" s="38"/>
      <c r="BV327" s="38"/>
    </row>
    <row r="328" ht="18.75" customHeight="1">
      <c r="A328" s="23"/>
      <c r="B328" s="24"/>
      <c r="C328" s="24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>
        <f t="shared" si="28"/>
        <v>0</v>
      </c>
      <c r="AL328" s="24"/>
      <c r="AM328" s="24"/>
      <c r="AN328" s="70">
        <v>0.0</v>
      </c>
      <c r="AO328" s="71">
        <f t="shared" si="27"/>
        <v>0</v>
      </c>
      <c r="AP328" s="72" t="str">
        <f t="shared" si="29"/>
        <v/>
      </c>
      <c r="AQ328" s="24"/>
      <c r="AR328" s="24"/>
      <c r="AS328" s="24"/>
      <c r="AT328" s="24"/>
      <c r="AU328" s="24"/>
      <c r="AV328" s="24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  <c r="BS328" s="38"/>
      <c r="BT328" s="38"/>
      <c r="BU328" s="38"/>
      <c r="BV328" s="38"/>
    </row>
    <row r="329" ht="18.75" customHeight="1">
      <c r="A329" s="23"/>
      <c r="B329" s="24"/>
      <c r="C329" s="24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>
        <f t="shared" si="28"/>
        <v>0</v>
      </c>
      <c r="AL329" s="24"/>
      <c r="AM329" s="24"/>
      <c r="AN329" s="70">
        <v>0.0</v>
      </c>
      <c r="AO329" s="71">
        <f t="shared" si="27"/>
        <v>0</v>
      </c>
      <c r="AP329" s="72" t="str">
        <f t="shared" si="29"/>
        <v/>
      </c>
      <c r="AQ329" s="24"/>
      <c r="AR329" s="24"/>
      <c r="AS329" s="24"/>
      <c r="AT329" s="24"/>
      <c r="AU329" s="24"/>
      <c r="AV329" s="24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  <c r="BP329" s="38"/>
      <c r="BQ329" s="38"/>
      <c r="BR329" s="38"/>
      <c r="BS329" s="38"/>
      <c r="BT329" s="38"/>
      <c r="BU329" s="38"/>
      <c r="BV329" s="38"/>
    </row>
    <row r="330" ht="18.75" customHeight="1">
      <c r="A330" s="23"/>
      <c r="B330" s="24"/>
      <c r="C330" s="24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>
        <f t="shared" si="28"/>
        <v>0</v>
      </c>
      <c r="AL330" s="24"/>
      <c r="AM330" s="24"/>
      <c r="AN330" s="70">
        <v>0.0</v>
      </c>
      <c r="AO330" s="71">
        <f t="shared" si="27"/>
        <v>0</v>
      </c>
      <c r="AP330" s="72" t="str">
        <f t="shared" si="29"/>
        <v/>
      </c>
      <c r="AQ330" s="24"/>
      <c r="AR330" s="24"/>
      <c r="AS330" s="24"/>
      <c r="AT330" s="24"/>
      <c r="AU330" s="24"/>
      <c r="AV330" s="24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  <c r="BP330" s="38"/>
      <c r="BQ330" s="38"/>
      <c r="BR330" s="38"/>
      <c r="BS330" s="38"/>
      <c r="BT330" s="38"/>
      <c r="BU330" s="38"/>
      <c r="BV330" s="38"/>
    </row>
    <row r="331" ht="18.75" customHeight="1">
      <c r="A331" s="23"/>
      <c r="B331" s="24"/>
      <c r="C331" s="24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>
        <f t="shared" si="28"/>
        <v>0</v>
      </c>
      <c r="AL331" s="24"/>
      <c r="AM331" s="24"/>
      <c r="AN331" s="70">
        <v>0.0</v>
      </c>
      <c r="AO331" s="71">
        <f t="shared" si="27"/>
        <v>0</v>
      </c>
      <c r="AP331" s="72" t="str">
        <f t="shared" si="29"/>
        <v/>
      </c>
      <c r="AQ331" s="24"/>
      <c r="AR331" s="24"/>
      <c r="AS331" s="24"/>
      <c r="AT331" s="24"/>
      <c r="AU331" s="24"/>
      <c r="AV331" s="24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  <c r="BP331" s="38"/>
      <c r="BQ331" s="38"/>
      <c r="BR331" s="38"/>
      <c r="BS331" s="38"/>
      <c r="BT331" s="38"/>
      <c r="BU331" s="38"/>
      <c r="BV331" s="38"/>
    </row>
    <row r="332" ht="18.75" customHeight="1">
      <c r="A332" s="23"/>
      <c r="B332" s="24"/>
      <c r="C332" s="24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>
        <f t="shared" si="28"/>
        <v>0</v>
      </c>
      <c r="AL332" s="24"/>
      <c r="AM332" s="24"/>
      <c r="AN332" s="70">
        <v>0.0</v>
      </c>
      <c r="AO332" s="71">
        <f t="shared" si="27"/>
        <v>0</v>
      </c>
      <c r="AP332" s="72" t="str">
        <f t="shared" si="29"/>
        <v/>
      </c>
      <c r="AQ332" s="24"/>
      <c r="AR332" s="24"/>
      <c r="AS332" s="24"/>
      <c r="AT332" s="24"/>
      <c r="AU332" s="24"/>
      <c r="AV332" s="24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  <c r="BP332" s="38"/>
      <c r="BQ332" s="38"/>
      <c r="BR332" s="38"/>
      <c r="BS332" s="38"/>
      <c r="BT332" s="38"/>
      <c r="BU332" s="38"/>
      <c r="BV332" s="38"/>
    </row>
    <row r="333" ht="18.75" customHeight="1">
      <c r="A333" s="23"/>
      <c r="B333" s="24"/>
      <c r="C333" s="24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>
        <f t="shared" si="28"/>
        <v>0</v>
      </c>
      <c r="AL333" s="24"/>
      <c r="AM333" s="24"/>
      <c r="AN333" s="70">
        <v>0.0</v>
      </c>
      <c r="AO333" s="71">
        <f t="shared" si="27"/>
        <v>0</v>
      </c>
      <c r="AP333" s="72" t="str">
        <f t="shared" si="29"/>
        <v/>
      </c>
      <c r="AQ333" s="24"/>
      <c r="AR333" s="24"/>
      <c r="AS333" s="24"/>
      <c r="AT333" s="24"/>
      <c r="AU333" s="24"/>
      <c r="AV333" s="24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  <c r="BP333" s="38"/>
      <c r="BQ333" s="38"/>
      <c r="BR333" s="38"/>
      <c r="BS333" s="38"/>
      <c r="BT333" s="38"/>
      <c r="BU333" s="38"/>
      <c r="BV333" s="38"/>
    </row>
    <row r="334" ht="18.75" customHeight="1">
      <c r="A334" s="23"/>
      <c r="B334" s="24"/>
      <c r="C334" s="24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>
        <f t="shared" si="28"/>
        <v>0</v>
      </c>
      <c r="AL334" s="24"/>
      <c r="AM334" s="24"/>
      <c r="AN334" s="70">
        <v>0.0</v>
      </c>
      <c r="AO334" s="71">
        <f t="shared" si="27"/>
        <v>0</v>
      </c>
      <c r="AP334" s="72" t="str">
        <f t="shared" si="29"/>
        <v/>
      </c>
      <c r="AQ334" s="24"/>
      <c r="AR334" s="24"/>
      <c r="AS334" s="24"/>
      <c r="AT334" s="24"/>
      <c r="AU334" s="24"/>
      <c r="AV334" s="24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  <c r="BP334" s="38"/>
      <c r="BQ334" s="38"/>
      <c r="BR334" s="38"/>
      <c r="BS334" s="38"/>
      <c r="BT334" s="38"/>
      <c r="BU334" s="38"/>
      <c r="BV334" s="38"/>
    </row>
    <row r="335" ht="18.75" customHeight="1">
      <c r="A335" s="23"/>
      <c r="B335" s="24"/>
      <c r="C335" s="24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>
        <f t="shared" si="28"/>
        <v>0</v>
      </c>
      <c r="AL335" s="24"/>
      <c r="AM335" s="24"/>
      <c r="AN335" s="70">
        <v>0.0</v>
      </c>
      <c r="AO335" s="71">
        <f t="shared" si="27"/>
        <v>0</v>
      </c>
      <c r="AP335" s="72" t="str">
        <f t="shared" si="29"/>
        <v/>
      </c>
      <c r="AQ335" s="24"/>
      <c r="AR335" s="24"/>
      <c r="AS335" s="24"/>
      <c r="AT335" s="24"/>
      <c r="AU335" s="24"/>
      <c r="AV335" s="24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  <c r="BP335" s="38"/>
      <c r="BQ335" s="38"/>
      <c r="BR335" s="38"/>
      <c r="BS335" s="38"/>
      <c r="BT335" s="38"/>
      <c r="BU335" s="38"/>
      <c r="BV335" s="38"/>
    </row>
    <row r="336" ht="18.75" customHeight="1">
      <c r="A336" s="23"/>
      <c r="B336" s="24"/>
      <c r="C336" s="24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>
        <f t="shared" si="28"/>
        <v>0</v>
      </c>
      <c r="AL336" s="24"/>
      <c r="AM336" s="24"/>
      <c r="AN336" s="70">
        <v>0.0</v>
      </c>
      <c r="AO336" s="71">
        <f t="shared" si="27"/>
        <v>0</v>
      </c>
      <c r="AP336" s="72" t="str">
        <f t="shared" si="29"/>
        <v/>
      </c>
      <c r="AQ336" s="24"/>
      <c r="AR336" s="24"/>
      <c r="AS336" s="24"/>
      <c r="AT336" s="24"/>
      <c r="AU336" s="24"/>
      <c r="AV336" s="24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  <c r="BP336" s="38"/>
      <c r="BQ336" s="38"/>
      <c r="BR336" s="38"/>
      <c r="BS336" s="38"/>
      <c r="BT336" s="38"/>
      <c r="BU336" s="38"/>
      <c r="BV336" s="38"/>
    </row>
    <row r="337" ht="18.75" customHeight="1">
      <c r="A337" s="23"/>
      <c r="B337" s="24"/>
      <c r="C337" s="24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>
        <f t="shared" si="28"/>
        <v>0</v>
      </c>
      <c r="AL337" s="24"/>
      <c r="AM337" s="24"/>
      <c r="AN337" s="70">
        <v>0.0</v>
      </c>
      <c r="AO337" s="71">
        <f t="shared" si="27"/>
        <v>0</v>
      </c>
      <c r="AP337" s="72" t="str">
        <f t="shared" si="29"/>
        <v/>
      </c>
      <c r="AQ337" s="24"/>
      <c r="AR337" s="24"/>
      <c r="AS337" s="24"/>
      <c r="AT337" s="24"/>
      <c r="AU337" s="24"/>
      <c r="AV337" s="24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  <c r="BP337" s="38"/>
      <c r="BQ337" s="38"/>
      <c r="BR337" s="38"/>
      <c r="BS337" s="38"/>
      <c r="BT337" s="38"/>
      <c r="BU337" s="38"/>
      <c r="BV337" s="38"/>
    </row>
    <row r="338" ht="18.75" customHeight="1">
      <c r="A338" s="23"/>
      <c r="B338" s="24"/>
      <c r="C338" s="24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>
        <f t="shared" si="28"/>
        <v>0</v>
      </c>
      <c r="AL338" s="24"/>
      <c r="AM338" s="24"/>
      <c r="AN338" s="70">
        <v>0.0</v>
      </c>
      <c r="AO338" s="71">
        <f t="shared" si="27"/>
        <v>0</v>
      </c>
      <c r="AP338" s="72" t="str">
        <f t="shared" si="29"/>
        <v/>
      </c>
      <c r="AQ338" s="24"/>
      <c r="AR338" s="24"/>
      <c r="AS338" s="24"/>
      <c r="AT338" s="24"/>
      <c r="AU338" s="24"/>
      <c r="AV338" s="24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  <c r="BP338" s="38"/>
      <c r="BQ338" s="38"/>
      <c r="BR338" s="38"/>
      <c r="BS338" s="38"/>
      <c r="BT338" s="38"/>
      <c r="BU338" s="38"/>
      <c r="BV338" s="38"/>
    </row>
    <row r="339" ht="18.75" customHeight="1">
      <c r="A339" s="23"/>
      <c r="B339" s="24"/>
      <c r="C339" s="24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>
        <f t="shared" si="28"/>
        <v>0</v>
      </c>
      <c r="AL339" s="24"/>
      <c r="AM339" s="24"/>
      <c r="AN339" s="70">
        <v>0.0</v>
      </c>
      <c r="AO339" s="71">
        <f t="shared" si="27"/>
        <v>0</v>
      </c>
      <c r="AP339" s="72" t="str">
        <f t="shared" si="29"/>
        <v/>
      </c>
      <c r="AQ339" s="24"/>
      <c r="AR339" s="24"/>
      <c r="AS339" s="24"/>
      <c r="AT339" s="24"/>
      <c r="AU339" s="24"/>
      <c r="AV339" s="24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  <c r="BP339" s="38"/>
      <c r="BQ339" s="38"/>
      <c r="BR339" s="38"/>
      <c r="BS339" s="38"/>
      <c r="BT339" s="38"/>
      <c r="BU339" s="38"/>
      <c r="BV339" s="38"/>
    </row>
    <row r="340" ht="18.75" customHeight="1">
      <c r="A340" s="23"/>
      <c r="B340" s="24"/>
      <c r="C340" s="24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>
        <f t="shared" si="28"/>
        <v>0</v>
      </c>
      <c r="AL340" s="24"/>
      <c r="AM340" s="24"/>
      <c r="AN340" s="70">
        <v>0.0</v>
      </c>
      <c r="AO340" s="71">
        <f t="shared" si="27"/>
        <v>0</v>
      </c>
      <c r="AP340" s="72" t="str">
        <f t="shared" si="29"/>
        <v/>
      </c>
      <c r="AQ340" s="24"/>
      <c r="AR340" s="24"/>
      <c r="AS340" s="24"/>
      <c r="AT340" s="24"/>
      <c r="AU340" s="24"/>
      <c r="AV340" s="24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  <c r="BP340" s="38"/>
      <c r="BQ340" s="38"/>
      <c r="BR340" s="38"/>
      <c r="BS340" s="38"/>
      <c r="BT340" s="38"/>
      <c r="BU340" s="38"/>
      <c r="BV340" s="38"/>
    </row>
    <row r="341" ht="18.75" customHeight="1">
      <c r="A341" s="23"/>
      <c r="B341" s="24"/>
      <c r="C341" s="24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>
        <f t="shared" si="28"/>
        <v>0</v>
      </c>
      <c r="AL341" s="24"/>
      <c r="AM341" s="24"/>
      <c r="AN341" s="70">
        <v>0.0</v>
      </c>
      <c r="AO341" s="71">
        <f t="shared" si="27"/>
        <v>0</v>
      </c>
      <c r="AP341" s="72" t="str">
        <f t="shared" si="29"/>
        <v/>
      </c>
      <c r="AQ341" s="24"/>
      <c r="AR341" s="24"/>
      <c r="AS341" s="24"/>
      <c r="AT341" s="24"/>
      <c r="AU341" s="24"/>
      <c r="AV341" s="24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  <c r="BP341" s="38"/>
      <c r="BQ341" s="38"/>
      <c r="BR341" s="38"/>
      <c r="BS341" s="38"/>
      <c r="BT341" s="38"/>
      <c r="BU341" s="38"/>
      <c r="BV341" s="38"/>
    </row>
    <row r="342" ht="18.75" customHeight="1">
      <c r="A342" s="23"/>
      <c r="B342" s="24"/>
      <c r="C342" s="24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>
        <f t="shared" si="28"/>
        <v>0</v>
      </c>
      <c r="AL342" s="24"/>
      <c r="AM342" s="24"/>
      <c r="AN342" s="70">
        <v>0.0</v>
      </c>
      <c r="AO342" s="71">
        <f t="shared" si="27"/>
        <v>0</v>
      </c>
      <c r="AP342" s="72" t="str">
        <f t="shared" si="29"/>
        <v/>
      </c>
      <c r="AQ342" s="24"/>
      <c r="AR342" s="24"/>
      <c r="AS342" s="24"/>
      <c r="AT342" s="24"/>
      <c r="AU342" s="24"/>
      <c r="AV342" s="24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  <c r="BP342" s="38"/>
      <c r="BQ342" s="38"/>
      <c r="BR342" s="38"/>
      <c r="BS342" s="38"/>
      <c r="BT342" s="38"/>
      <c r="BU342" s="38"/>
      <c r="BV342" s="38"/>
    </row>
    <row r="343" ht="18.75" customHeight="1">
      <c r="A343" s="23"/>
      <c r="B343" s="24"/>
      <c r="C343" s="24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>
        <f t="shared" si="28"/>
        <v>0</v>
      </c>
      <c r="AL343" s="24"/>
      <c r="AM343" s="24"/>
      <c r="AN343" s="70">
        <v>0.0</v>
      </c>
      <c r="AO343" s="71">
        <f t="shared" si="27"/>
        <v>0</v>
      </c>
      <c r="AP343" s="72" t="str">
        <f t="shared" si="29"/>
        <v/>
      </c>
      <c r="AQ343" s="24"/>
      <c r="AR343" s="24"/>
      <c r="AS343" s="24"/>
      <c r="AT343" s="24"/>
      <c r="AU343" s="24"/>
      <c r="AV343" s="24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  <c r="BP343" s="38"/>
      <c r="BQ343" s="38"/>
      <c r="BR343" s="38"/>
      <c r="BS343" s="38"/>
      <c r="BT343" s="38"/>
      <c r="BU343" s="38"/>
      <c r="BV343" s="38"/>
    </row>
    <row r="344" ht="18.75" customHeight="1">
      <c r="A344" s="23"/>
      <c r="B344" s="24"/>
      <c r="C344" s="24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>
        <f t="shared" si="28"/>
        <v>0</v>
      </c>
      <c r="AL344" s="24"/>
      <c r="AM344" s="24"/>
      <c r="AN344" s="70">
        <v>0.0</v>
      </c>
      <c r="AO344" s="71">
        <f t="shared" si="27"/>
        <v>0</v>
      </c>
      <c r="AP344" s="72" t="str">
        <f t="shared" si="29"/>
        <v/>
      </c>
      <c r="AQ344" s="24"/>
      <c r="AR344" s="24"/>
      <c r="AS344" s="24"/>
      <c r="AT344" s="24"/>
      <c r="AU344" s="24"/>
      <c r="AV344" s="24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  <c r="BP344" s="38"/>
      <c r="BQ344" s="38"/>
      <c r="BR344" s="38"/>
      <c r="BS344" s="38"/>
      <c r="BT344" s="38"/>
      <c r="BU344" s="38"/>
      <c r="BV344" s="38"/>
    </row>
    <row r="345" ht="18.75" customHeight="1">
      <c r="A345" s="23"/>
      <c r="B345" s="24"/>
      <c r="C345" s="24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>
        <f t="shared" si="28"/>
        <v>0</v>
      </c>
      <c r="AL345" s="24"/>
      <c r="AM345" s="24"/>
      <c r="AN345" s="70">
        <v>0.0</v>
      </c>
      <c r="AO345" s="71">
        <f t="shared" si="27"/>
        <v>0</v>
      </c>
      <c r="AP345" s="72" t="str">
        <f t="shared" si="29"/>
        <v/>
      </c>
      <c r="AQ345" s="24"/>
      <c r="AR345" s="24"/>
      <c r="AS345" s="24"/>
      <c r="AT345" s="24"/>
      <c r="AU345" s="24"/>
      <c r="AV345" s="24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  <c r="BP345" s="38"/>
      <c r="BQ345" s="38"/>
      <c r="BR345" s="38"/>
      <c r="BS345" s="38"/>
      <c r="BT345" s="38"/>
      <c r="BU345" s="38"/>
      <c r="BV345" s="38"/>
    </row>
    <row r="346" ht="18.75" customHeight="1">
      <c r="A346" s="23"/>
      <c r="B346" s="24"/>
      <c r="C346" s="24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>
        <f t="shared" si="28"/>
        <v>0</v>
      </c>
      <c r="AL346" s="24"/>
      <c r="AM346" s="24"/>
      <c r="AN346" s="70">
        <v>0.0</v>
      </c>
      <c r="AO346" s="71">
        <f t="shared" si="27"/>
        <v>0</v>
      </c>
      <c r="AP346" s="72" t="str">
        <f t="shared" si="29"/>
        <v/>
      </c>
      <c r="AQ346" s="24"/>
      <c r="AR346" s="24"/>
      <c r="AS346" s="24"/>
      <c r="AT346" s="24"/>
      <c r="AU346" s="24"/>
      <c r="AV346" s="24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  <c r="BP346" s="38"/>
      <c r="BQ346" s="38"/>
      <c r="BR346" s="38"/>
      <c r="BS346" s="38"/>
      <c r="BT346" s="38"/>
      <c r="BU346" s="38"/>
      <c r="BV346" s="38"/>
    </row>
    <row r="347" ht="18.75" customHeight="1">
      <c r="A347" s="23"/>
      <c r="B347" s="24"/>
      <c r="C347" s="24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>
        <f t="shared" si="28"/>
        <v>0</v>
      </c>
      <c r="AL347" s="24"/>
      <c r="AM347" s="24"/>
      <c r="AN347" s="70">
        <v>0.0</v>
      </c>
      <c r="AO347" s="71">
        <f t="shared" si="27"/>
        <v>0</v>
      </c>
      <c r="AP347" s="72" t="str">
        <f t="shared" si="29"/>
        <v/>
      </c>
      <c r="AQ347" s="24"/>
      <c r="AR347" s="24"/>
      <c r="AS347" s="24"/>
      <c r="AT347" s="24"/>
      <c r="AU347" s="24"/>
      <c r="AV347" s="24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  <c r="BP347" s="38"/>
      <c r="BQ347" s="38"/>
      <c r="BR347" s="38"/>
      <c r="BS347" s="38"/>
      <c r="BT347" s="38"/>
      <c r="BU347" s="38"/>
      <c r="BV347" s="38"/>
    </row>
    <row r="348" ht="18.75" customHeight="1">
      <c r="A348" s="23"/>
      <c r="B348" s="24"/>
      <c r="C348" s="24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>
        <f t="shared" si="28"/>
        <v>0</v>
      </c>
      <c r="AL348" s="24"/>
      <c r="AM348" s="24"/>
      <c r="AN348" s="70">
        <v>0.0</v>
      </c>
      <c r="AO348" s="71">
        <f t="shared" si="27"/>
        <v>0</v>
      </c>
      <c r="AP348" s="72" t="str">
        <f t="shared" si="29"/>
        <v/>
      </c>
      <c r="AQ348" s="24"/>
      <c r="AR348" s="24"/>
      <c r="AS348" s="24"/>
      <c r="AT348" s="24"/>
      <c r="AU348" s="24"/>
      <c r="AV348" s="24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  <c r="BP348" s="38"/>
      <c r="BQ348" s="38"/>
      <c r="BR348" s="38"/>
      <c r="BS348" s="38"/>
      <c r="BT348" s="38"/>
      <c r="BU348" s="38"/>
      <c r="BV348" s="38"/>
    </row>
    <row r="349" ht="18.75" customHeight="1">
      <c r="A349" s="23"/>
      <c r="B349" s="24"/>
      <c r="C349" s="24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>
        <f t="shared" si="28"/>
        <v>0</v>
      </c>
      <c r="AL349" s="24"/>
      <c r="AM349" s="24"/>
      <c r="AN349" s="70">
        <v>0.0</v>
      </c>
      <c r="AO349" s="71">
        <f t="shared" si="27"/>
        <v>0</v>
      </c>
      <c r="AP349" s="72" t="str">
        <f t="shared" si="29"/>
        <v/>
      </c>
      <c r="AQ349" s="24"/>
      <c r="AR349" s="24"/>
      <c r="AS349" s="24"/>
      <c r="AT349" s="24"/>
      <c r="AU349" s="24"/>
      <c r="AV349" s="24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</row>
    <row r="350" ht="18.75" customHeight="1">
      <c r="A350" s="23"/>
      <c r="B350" s="24"/>
      <c r="C350" s="24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>
        <f t="shared" si="28"/>
        <v>0</v>
      </c>
      <c r="AL350" s="24"/>
      <c r="AM350" s="24"/>
      <c r="AN350" s="70">
        <v>0.0</v>
      </c>
      <c r="AO350" s="71">
        <f t="shared" si="27"/>
        <v>0</v>
      </c>
      <c r="AP350" s="72" t="str">
        <f t="shared" si="29"/>
        <v/>
      </c>
      <c r="AQ350" s="24"/>
      <c r="AR350" s="24"/>
      <c r="AS350" s="24"/>
      <c r="AT350" s="24"/>
      <c r="AU350" s="24"/>
      <c r="AV350" s="24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  <c r="BP350" s="38"/>
      <c r="BQ350" s="38"/>
      <c r="BR350" s="38"/>
      <c r="BS350" s="38"/>
      <c r="BT350" s="38"/>
      <c r="BU350" s="38"/>
      <c r="BV350" s="38"/>
    </row>
    <row r="351" ht="14.25" customHeight="1">
      <c r="A351" s="74"/>
      <c r="B351" s="38"/>
      <c r="C351" s="38"/>
      <c r="D351" s="38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38"/>
      <c r="AM351" s="38"/>
      <c r="AN351" s="75"/>
      <c r="AO351" s="75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  <c r="BP351" s="38"/>
      <c r="BQ351" s="38"/>
      <c r="BR351" s="38"/>
      <c r="BS351" s="38"/>
      <c r="BT351" s="38"/>
      <c r="BU351" s="38"/>
      <c r="BV351" s="38"/>
    </row>
    <row r="352" ht="14.25" customHeight="1">
      <c r="A352" s="74"/>
      <c r="B352" s="38"/>
      <c r="C352" s="38"/>
      <c r="D352" s="38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38"/>
      <c r="AM352" s="38"/>
      <c r="AN352" s="75"/>
      <c r="AO352" s="75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  <c r="BP352" s="38"/>
      <c r="BQ352" s="38"/>
      <c r="BR352" s="38"/>
      <c r="BS352" s="38"/>
      <c r="BT352" s="38"/>
      <c r="BU352" s="38"/>
      <c r="BV352" s="38"/>
    </row>
    <row r="353" ht="14.25" customHeight="1">
      <c r="A353" s="74"/>
      <c r="B353" s="38"/>
      <c r="C353" s="38"/>
      <c r="D353" s="38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38"/>
      <c r="AM353" s="38"/>
      <c r="AN353" s="75"/>
      <c r="AO353" s="75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  <c r="BQ353" s="38"/>
      <c r="BR353" s="38"/>
      <c r="BS353" s="38"/>
      <c r="BT353" s="38"/>
      <c r="BU353" s="38"/>
      <c r="BV353" s="38"/>
    </row>
    <row r="354" ht="14.25" customHeight="1">
      <c r="A354" s="74"/>
      <c r="B354" s="38"/>
      <c r="C354" s="38"/>
      <c r="D354" s="38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38"/>
      <c r="AM354" s="38"/>
      <c r="AN354" s="75"/>
      <c r="AO354" s="75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  <c r="BP354" s="38"/>
      <c r="BQ354" s="38"/>
      <c r="BR354" s="38"/>
      <c r="BS354" s="38"/>
      <c r="BT354" s="38"/>
      <c r="BU354" s="38"/>
      <c r="BV354" s="38"/>
    </row>
    <row r="355" ht="14.25" customHeight="1">
      <c r="A355" s="74"/>
      <c r="B355" s="38"/>
      <c r="C355" s="38"/>
      <c r="D355" s="38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38"/>
      <c r="AM355" s="38"/>
      <c r="AN355" s="75"/>
      <c r="AO355" s="75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  <c r="BP355" s="38"/>
      <c r="BQ355" s="38"/>
      <c r="BR355" s="38"/>
      <c r="BS355" s="38"/>
      <c r="BT355" s="38"/>
      <c r="BU355" s="38"/>
      <c r="BV355" s="38"/>
    </row>
    <row r="356" ht="14.25" customHeight="1">
      <c r="A356" s="74"/>
      <c r="B356" s="38"/>
      <c r="C356" s="38"/>
      <c r="D356" s="38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38"/>
      <c r="AM356" s="38"/>
      <c r="AN356" s="75"/>
      <c r="AO356" s="75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  <c r="BP356" s="38"/>
      <c r="BQ356" s="38"/>
      <c r="BR356" s="38"/>
      <c r="BS356" s="38"/>
      <c r="BT356" s="38"/>
      <c r="BU356" s="38"/>
      <c r="BV356" s="38"/>
    </row>
    <row r="357" ht="14.25" customHeight="1">
      <c r="A357" s="74"/>
      <c r="B357" s="38"/>
      <c r="C357" s="38"/>
      <c r="D357" s="38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38"/>
      <c r="AM357" s="38"/>
      <c r="AN357" s="75"/>
      <c r="AO357" s="75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  <c r="BP357" s="38"/>
      <c r="BQ357" s="38"/>
      <c r="BR357" s="38"/>
      <c r="BS357" s="38"/>
      <c r="BT357" s="38"/>
      <c r="BU357" s="38"/>
      <c r="BV357" s="38"/>
    </row>
    <row r="358" ht="14.25" customHeight="1">
      <c r="A358" s="74"/>
      <c r="B358" s="38"/>
      <c r="C358" s="38"/>
      <c r="D358" s="38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38"/>
      <c r="AM358" s="38"/>
      <c r="AN358" s="75"/>
      <c r="AO358" s="75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  <c r="BP358" s="38"/>
      <c r="BQ358" s="38"/>
      <c r="BR358" s="38"/>
      <c r="BS358" s="38"/>
      <c r="BT358" s="38"/>
      <c r="BU358" s="38"/>
      <c r="BV358" s="38"/>
    </row>
    <row r="359" ht="14.25" customHeight="1">
      <c r="A359" s="74"/>
      <c r="B359" s="38"/>
      <c r="C359" s="38"/>
      <c r="D359" s="38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38"/>
      <c r="AM359" s="38"/>
      <c r="AN359" s="75"/>
      <c r="AO359" s="75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  <c r="BP359" s="38"/>
      <c r="BQ359" s="38"/>
      <c r="BR359" s="38"/>
      <c r="BS359" s="38"/>
      <c r="BT359" s="38"/>
      <c r="BU359" s="38"/>
      <c r="BV359" s="38"/>
    </row>
    <row r="360" ht="14.25" customHeight="1">
      <c r="A360" s="74"/>
      <c r="B360" s="38"/>
      <c r="C360" s="38"/>
      <c r="D360" s="38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38"/>
      <c r="AM360" s="38"/>
      <c r="AN360" s="75"/>
      <c r="AO360" s="75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  <c r="BP360" s="38"/>
      <c r="BQ360" s="38"/>
      <c r="BR360" s="38"/>
      <c r="BS360" s="38"/>
      <c r="BT360" s="38"/>
      <c r="BU360" s="38"/>
      <c r="BV360" s="38"/>
    </row>
    <row r="361" ht="14.25" customHeight="1">
      <c r="A361" s="74"/>
      <c r="B361" s="38"/>
      <c r="C361" s="38"/>
      <c r="D361" s="38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38"/>
      <c r="AM361" s="38"/>
      <c r="AN361" s="75"/>
      <c r="AO361" s="75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  <c r="BP361" s="38"/>
      <c r="BQ361" s="38"/>
      <c r="BR361" s="38"/>
      <c r="BS361" s="38"/>
      <c r="BT361" s="38"/>
      <c r="BU361" s="38"/>
      <c r="BV361" s="38"/>
    </row>
    <row r="362" ht="14.25" customHeight="1">
      <c r="A362" s="74"/>
      <c r="B362" s="38"/>
      <c r="C362" s="38"/>
      <c r="D362" s="38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38"/>
      <c r="AM362" s="38"/>
      <c r="AN362" s="75"/>
      <c r="AO362" s="75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  <c r="BP362" s="38"/>
      <c r="BQ362" s="38"/>
      <c r="BR362" s="38"/>
      <c r="BS362" s="38"/>
      <c r="BT362" s="38"/>
      <c r="BU362" s="38"/>
      <c r="BV362" s="38"/>
    </row>
    <row r="363" ht="14.25" customHeight="1">
      <c r="A363" s="74"/>
      <c r="B363" s="38"/>
      <c r="C363" s="38"/>
      <c r="D363" s="38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38"/>
      <c r="AM363" s="38"/>
      <c r="AN363" s="75"/>
      <c r="AO363" s="75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  <c r="BQ363" s="38"/>
      <c r="BR363" s="38"/>
      <c r="BS363" s="38"/>
      <c r="BT363" s="38"/>
      <c r="BU363" s="38"/>
      <c r="BV363" s="38"/>
    </row>
    <row r="364" ht="14.25" customHeight="1">
      <c r="A364" s="74"/>
      <c r="B364" s="38"/>
      <c r="C364" s="38"/>
      <c r="D364" s="38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38"/>
      <c r="AM364" s="38"/>
      <c r="AN364" s="75"/>
      <c r="AO364" s="75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  <c r="BP364" s="38"/>
      <c r="BQ364" s="38"/>
      <c r="BR364" s="38"/>
      <c r="BS364" s="38"/>
      <c r="BT364" s="38"/>
      <c r="BU364" s="38"/>
      <c r="BV364" s="38"/>
    </row>
    <row r="365" ht="14.25" customHeight="1">
      <c r="A365" s="74"/>
      <c r="B365" s="38"/>
      <c r="C365" s="38"/>
      <c r="D365" s="38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38"/>
      <c r="AM365" s="38"/>
      <c r="AN365" s="75"/>
      <c r="AO365" s="75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  <c r="BP365" s="38"/>
      <c r="BQ365" s="38"/>
      <c r="BR365" s="38"/>
      <c r="BS365" s="38"/>
      <c r="BT365" s="38"/>
      <c r="BU365" s="38"/>
      <c r="BV365" s="38"/>
    </row>
    <row r="366" ht="14.25" customHeight="1">
      <c r="A366" s="74"/>
      <c r="B366" s="38"/>
      <c r="C366" s="38"/>
      <c r="D366" s="38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38"/>
      <c r="AM366" s="38"/>
      <c r="AN366" s="75"/>
      <c r="AO366" s="75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  <c r="BP366" s="38"/>
      <c r="BQ366" s="38"/>
      <c r="BR366" s="38"/>
      <c r="BS366" s="38"/>
      <c r="BT366" s="38"/>
      <c r="BU366" s="38"/>
      <c r="BV366" s="38"/>
    </row>
    <row r="367" ht="14.25" customHeight="1">
      <c r="A367" s="74"/>
      <c r="B367" s="38"/>
      <c r="C367" s="38"/>
      <c r="D367" s="38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38"/>
      <c r="AM367" s="38"/>
      <c r="AN367" s="75"/>
      <c r="AO367" s="75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  <c r="BP367" s="38"/>
      <c r="BQ367" s="38"/>
      <c r="BR367" s="38"/>
      <c r="BS367" s="38"/>
      <c r="BT367" s="38"/>
      <c r="BU367" s="38"/>
      <c r="BV367" s="38"/>
    </row>
    <row r="368" ht="14.25" customHeight="1">
      <c r="A368" s="74"/>
      <c r="B368" s="38"/>
      <c r="C368" s="38"/>
      <c r="D368" s="38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38"/>
      <c r="AM368" s="38"/>
      <c r="AN368" s="75"/>
      <c r="AO368" s="75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  <c r="BP368" s="38"/>
      <c r="BQ368" s="38"/>
      <c r="BR368" s="38"/>
      <c r="BS368" s="38"/>
      <c r="BT368" s="38"/>
      <c r="BU368" s="38"/>
      <c r="BV368" s="38"/>
    </row>
    <row r="369" ht="14.25" customHeight="1">
      <c r="A369" s="74"/>
      <c r="B369" s="38"/>
      <c r="C369" s="38"/>
      <c r="D369" s="38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38"/>
      <c r="AM369" s="38"/>
      <c r="AN369" s="75"/>
      <c r="AO369" s="75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  <c r="BP369" s="38"/>
      <c r="BQ369" s="38"/>
      <c r="BR369" s="38"/>
      <c r="BS369" s="38"/>
      <c r="BT369" s="38"/>
      <c r="BU369" s="38"/>
      <c r="BV369" s="38"/>
    </row>
    <row r="370" ht="14.25" customHeight="1">
      <c r="A370" s="74"/>
      <c r="B370" s="38"/>
      <c r="C370" s="38"/>
      <c r="D370" s="38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38"/>
      <c r="AM370" s="38"/>
      <c r="AN370" s="75"/>
      <c r="AO370" s="75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  <c r="BP370" s="38"/>
      <c r="BQ370" s="38"/>
      <c r="BR370" s="38"/>
      <c r="BS370" s="38"/>
      <c r="BT370" s="38"/>
      <c r="BU370" s="38"/>
      <c r="BV370" s="38"/>
    </row>
    <row r="371" ht="14.25" customHeight="1">
      <c r="A371" s="74"/>
      <c r="B371" s="38"/>
      <c r="C371" s="38"/>
      <c r="D371" s="38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38"/>
      <c r="AM371" s="38"/>
      <c r="AN371" s="75"/>
      <c r="AO371" s="75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  <c r="BP371" s="38"/>
      <c r="BQ371" s="38"/>
      <c r="BR371" s="38"/>
      <c r="BS371" s="38"/>
      <c r="BT371" s="38"/>
      <c r="BU371" s="38"/>
      <c r="BV371" s="38"/>
    </row>
    <row r="372" ht="14.25" customHeight="1">
      <c r="A372" s="74"/>
      <c r="B372" s="38"/>
      <c r="C372" s="38"/>
      <c r="D372" s="38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38"/>
      <c r="AM372" s="38"/>
      <c r="AN372" s="75"/>
      <c r="AO372" s="75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  <c r="BP372" s="38"/>
      <c r="BQ372" s="38"/>
      <c r="BR372" s="38"/>
      <c r="BS372" s="38"/>
      <c r="BT372" s="38"/>
      <c r="BU372" s="38"/>
      <c r="BV372" s="38"/>
    </row>
    <row r="373" ht="14.25" customHeight="1">
      <c r="A373" s="74"/>
      <c r="B373" s="38"/>
      <c r="C373" s="38"/>
      <c r="D373" s="38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38"/>
      <c r="AM373" s="38"/>
      <c r="AN373" s="75"/>
      <c r="AO373" s="75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  <c r="BQ373" s="38"/>
      <c r="BR373" s="38"/>
      <c r="BS373" s="38"/>
      <c r="BT373" s="38"/>
      <c r="BU373" s="38"/>
      <c r="BV373" s="38"/>
    </row>
    <row r="374" ht="14.25" customHeight="1">
      <c r="A374" s="74"/>
      <c r="B374" s="38"/>
      <c r="C374" s="38"/>
      <c r="D374" s="38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38"/>
      <c r="AM374" s="38"/>
      <c r="AN374" s="75"/>
      <c r="AO374" s="75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  <c r="BP374" s="38"/>
      <c r="BQ374" s="38"/>
      <c r="BR374" s="38"/>
      <c r="BS374" s="38"/>
      <c r="BT374" s="38"/>
      <c r="BU374" s="38"/>
      <c r="BV374" s="38"/>
    </row>
    <row r="375" ht="14.25" customHeight="1">
      <c r="A375" s="74"/>
      <c r="B375" s="38"/>
      <c r="C375" s="38"/>
      <c r="D375" s="38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38"/>
      <c r="AM375" s="38"/>
      <c r="AN375" s="75"/>
      <c r="AO375" s="75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  <c r="BP375" s="38"/>
      <c r="BQ375" s="38"/>
      <c r="BR375" s="38"/>
      <c r="BS375" s="38"/>
      <c r="BT375" s="38"/>
      <c r="BU375" s="38"/>
      <c r="BV375" s="38"/>
    </row>
    <row r="376" ht="14.25" customHeight="1">
      <c r="A376" s="74"/>
      <c r="B376" s="38"/>
      <c r="C376" s="38"/>
      <c r="D376" s="38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38"/>
      <c r="AM376" s="38"/>
      <c r="AN376" s="75"/>
      <c r="AO376" s="75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  <c r="BP376" s="38"/>
      <c r="BQ376" s="38"/>
      <c r="BR376" s="38"/>
      <c r="BS376" s="38"/>
      <c r="BT376" s="38"/>
      <c r="BU376" s="38"/>
      <c r="BV376" s="38"/>
    </row>
    <row r="377" ht="14.25" customHeight="1">
      <c r="A377" s="74"/>
      <c r="B377" s="38"/>
      <c r="C377" s="38"/>
      <c r="D377" s="38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38"/>
      <c r="AM377" s="38"/>
      <c r="AN377" s="75"/>
      <c r="AO377" s="75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  <c r="BP377" s="38"/>
      <c r="BQ377" s="38"/>
      <c r="BR377" s="38"/>
      <c r="BS377" s="38"/>
      <c r="BT377" s="38"/>
      <c r="BU377" s="38"/>
      <c r="BV377" s="38"/>
    </row>
    <row r="378" ht="14.25" customHeight="1">
      <c r="A378" s="74"/>
      <c r="B378" s="38"/>
      <c r="C378" s="38"/>
      <c r="D378" s="38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38"/>
      <c r="AM378" s="38"/>
      <c r="AN378" s="75"/>
      <c r="AO378" s="75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  <c r="BP378" s="38"/>
      <c r="BQ378" s="38"/>
      <c r="BR378" s="38"/>
      <c r="BS378" s="38"/>
      <c r="BT378" s="38"/>
      <c r="BU378" s="38"/>
      <c r="BV378" s="38"/>
    </row>
    <row r="379" ht="14.25" customHeight="1">
      <c r="A379" s="74"/>
      <c r="B379" s="38"/>
      <c r="C379" s="38"/>
      <c r="D379" s="38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38"/>
      <c r="AM379" s="38"/>
      <c r="AN379" s="75"/>
      <c r="AO379" s="75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  <c r="BP379" s="38"/>
      <c r="BQ379" s="38"/>
      <c r="BR379" s="38"/>
      <c r="BS379" s="38"/>
      <c r="BT379" s="38"/>
      <c r="BU379" s="38"/>
      <c r="BV379" s="38"/>
    </row>
    <row r="380" ht="14.25" customHeight="1">
      <c r="A380" s="74"/>
      <c r="B380" s="38"/>
      <c r="C380" s="38"/>
      <c r="D380" s="38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38"/>
      <c r="AM380" s="38"/>
      <c r="AN380" s="75"/>
      <c r="AO380" s="75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  <c r="BP380" s="38"/>
      <c r="BQ380" s="38"/>
      <c r="BR380" s="38"/>
      <c r="BS380" s="38"/>
      <c r="BT380" s="38"/>
      <c r="BU380" s="38"/>
      <c r="BV380" s="38"/>
    </row>
    <row r="381" ht="14.25" customHeight="1">
      <c r="A381" s="74"/>
      <c r="B381" s="38"/>
      <c r="C381" s="38"/>
      <c r="D381" s="38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38"/>
      <c r="AM381" s="38"/>
      <c r="AN381" s="75"/>
      <c r="AO381" s="75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  <c r="BP381" s="38"/>
      <c r="BQ381" s="38"/>
      <c r="BR381" s="38"/>
      <c r="BS381" s="38"/>
      <c r="BT381" s="38"/>
      <c r="BU381" s="38"/>
      <c r="BV381" s="38"/>
    </row>
    <row r="382" ht="14.25" customHeight="1">
      <c r="A382" s="74"/>
      <c r="B382" s="38"/>
      <c r="C382" s="38"/>
      <c r="D382" s="38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38"/>
      <c r="AM382" s="38"/>
      <c r="AN382" s="75"/>
      <c r="AO382" s="75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  <c r="BP382" s="38"/>
      <c r="BQ382" s="38"/>
      <c r="BR382" s="38"/>
      <c r="BS382" s="38"/>
      <c r="BT382" s="38"/>
      <c r="BU382" s="38"/>
      <c r="BV382" s="38"/>
    </row>
    <row r="383" ht="14.25" customHeight="1">
      <c r="A383" s="74"/>
      <c r="B383" s="38"/>
      <c r="C383" s="38"/>
      <c r="D383" s="38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38"/>
      <c r="AM383" s="38"/>
      <c r="AN383" s="75"/>
      <c r="AO383" s="75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  <c r="BP383" s="38"/>
      <c r="BQ383" s="38"/>
      <c r="BR383" s="38"/>
      <c r="BS383" s="38"/>
      <c r="BT383" s="38"/>
      <c r="BU383" s="38"/>
      <c r="BV383" s="38"/>
    </row>
    <row r="384" ht="14.25" customHeight="1">
      <c r="A384" s="74"/>
      <c r="B384" s="38"/>
      <c r="C384" s="38"/>
      <c r="D384" s="38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38"/>
      <c r="AM384" s="38"/>
      <c r="AN384" s="75"/>
      <c r="AO384" s="75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  <c r="BP384" s="38"/>
      <c r="BQ384" s="38"/>
      <c r="BR384" s="38"/>
      <c r="BS384" s="38"/>
      <c r="BT384" s="38"/>
      <c r="BU384" s="38"/>
      <c r="BV384" s="38"/>
    </row>
    <row r="385" ht="14.25" customHeight="1">
      <c r="A385" s="74"/>
      <c r="B385" s="38"/>
      <c r="C385" s="38"/>
      <c r="D385" s="38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38"/>
      <c r="AM385" s="38"/>
      <c r="AN385" s="75"/>
      <c r="AO385" s="75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</row>
    <row r="386" ht="14.25" customHeight="1">
      <c r="A386" s="74"/>
      <c r="B386" s="38"/>
      <c r="C386" s="38"/>
      <c r="D386" s="38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38"/>
      <c r="AM386" s="38"/>
      <c r="AN386" s="75"/>
      <c r="AO386" s="75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  <c r="BP386" s="38"/>
      <c r="BQ386" s="38"/>
      <c r="BR386" s="38"/>
      <c r="BS386" s="38"/>
      <c r="BT386" s="38"/>
      <c r="BU386" s="38"/>
      <c r="BV386" s="38"/>
    </row>
    <row r="387" ht="14.25" customHeight="1">
      <c r="A387" s="74"/>
      <c r="B387" s="38"/>
      <c r="C387" s="38"/>
      <c r="D387" s="38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38"/>
      <c r="AM387" s="38"/>
      <c r="AN387" s="75"/>
      <c r="AO387" s="75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  <c r="BP387" s="38"/>
      <c r="BQ387" s="38"/>
      <c r="BR387" s="38"/>
      <c r="BS387" s="38"/>
      <c r="BT387" s="38"/>
      <c r="BU387" s="38"/>
      <c r="BV387" s="38"/>
    </row>
    <row r="388" ht="14.25" customHeight="1">
      <c r="A388" s="74"/>
      <c r="B388" s="38"/>
      <c r="C388" s="38"/>
      <c r="D388" s="38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38"/>
      <c r="AM388" s="38"/>
      <c r="AN388" s="75"/>
      <c r="AO388" s="75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  <c r="BP388" s="38"/>
      <c r="BQ388" s="38"/>
      <c r="BR388" s="38"/>
      <c r="BS388" s="38"/>
      <c r="BT388" s="38"/>
      <c r="BU388" s="38"/>
      <c r="BV388" s="38"/>
    </row>
    <row r="389" ht="14.25" customHeight="1">
      <c r="A389" s="74"/>
      <c r="B389" s="38"/>
      <c r="C389" s="38"/>
      <c r="D389" s="38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38"/>
      <c r="AM389" s="38"/>
      <c r="AN389" s="75"/>
      <c r="AO389" s="75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  <c r="BP389" s="38"/>
      <c r="BQ389" s="38"/>
      <c r="BR389" s="38"/>
      <c r="BS389" s="38"/>
      <c r="BT389" s="38"/>
      <c r="BU389" s="38"/>
      <c r="BV389" s="38"/>
    </row>
    <row r="390" ht="14.25" customHeight="1">
      <c r="A390" s="74"/>
      <c r="B390" s="38"/>
      <c r="C390" s="38"/>
      <c r="D390" s="38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38"/>
      <c r="AM390" s="38"/>
      <c r="AN390" s="75"/>
      <c r="AO390" s="75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  <c r="BP390" s="38"/>
      <c r="BQ390" s="38"/>
      <c r="BR390" s="38"/>
      <c r="BS390" s="38"/>
      <c r="BT390" s="38"/>
      <c r="BU390" s="38"/>
      <c r="BV390" s="38"/>
    </row>
    <row r="391" ht="14.25" customHeight="1">
      <c r="A391" s="74"/>
      <c r="B391" s="38"/>
      <c r="C391" s="38"/>
      <c r="D391" s="38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38"/>
      <c r="AM391" s="38"/>
      <c r="AN391" s="75"/>
      <c r="AO391" s="75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  <c r="BP391" s="38"/>
      <c r="BQ391" s="38"/>
      <c r="BR391" s="38"/>
      <c r="BS391" s="38"/>
      <c r="BT391" s="38"/>
      <c r="BU391" s="38"/>
      <c r="BV391" s="38"/>
    </row>
    <row r="392" ht="14.25" customHeight="1">
      <c r="A392" s="74"/>
      <c r="B392" s="38"/>
      <c r="C392" s="38"/>
      <c r="D392" s="38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38"/>
      <c r="AM392" s="38"/>
      <c r="AN392" s="75"/>
      <c r="AO392" s="75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  <c r="BP392" s="38"/>
      <c r="BQ392" s="38"/>
      <c r="BR392" s="38"/>
      <c r="BS392" s="38"/>
      <c r="BT392" s="38"/>
      <c r="BU392" s="38"/>
      <c r="BV392" s="38"/>
    </row>
    <row r="393" ht="14.25" customHeight="1">
      <c r="A393" s="74"/>
      <c r="B393" s="38"/>
      <c r="C393" s="38"/>
      <c r="D393" s="38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38"/>
      <c r="AM393" s="38"/>
      <c r="AN393" s="75"/>
      <c r="AO393" s="75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</row>
    <row r="394" ht="14.25" customHeight="1">
      <c r="A394" s="74"/>
      <c r="B394" s="38"/>
      <c r="C394" s="38"/>
      <c r="D394" s="38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38"/>
      <c r="AM394" s="38"/>
      <c r="AN394" s="75"/>
      <c r="AO394" s="75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  <c r="BP394" s="38"/>
      <c r="BQ394" s="38"/>
      <c r="BR394" s="38"/>
      <c r="BS394" s="38"/>
      <c r="BT394" s="38"/>
      <c r="BU394" s="38"/>
      <c r="BV394" s="38"/>
    </row>
    <row r="395" ht="14.25" customHeight="1">
      <c r="A395" s="74"/>
      <c r="B395" s="38"/>
      <c r="C395" s="38"/>
      <c r="D395" s="38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38"/>
      <c r="AM395" s="38"/>
      <c r="AN395" s="75"/>
      <c r="AO395" s="75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  <c r="BP395" s="38"/>
      <c r="BQ395" s="38"/>
      <c r="BR395" s="38"/>
      <c r="BS395" s="38"/>
      <c r="BT395" s="38"/>
      <c r="BU395" s="38"/>
      <c r="BV395" s="38"/>
    </row>
    <row r="396" ht="14.25" customHeight="1">
      <c r="A396" s="74"/>
      <c r="B396" s="38"/>
      <c r="C396" s="38"/>
      <c r="D396" s="38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38"/>
      <c r="AM396" s="38"/>
      <c r="AN396" s="75"/>
      <c r="AO396" s="75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  <c r="BP396" s="38"/>
      <c r="BQ396" s="38"/>
      <c r="BR396" s="38"/>
      <c r="BS396" s="38"/>
      <c r="BT396" s="38"/>
      <c r="BU396" s="38"/>
      <c r="BV396" s="38"/>
    </row>
    <row r="397" ht="14.25" customHeight="1">
      <c r="A397" s="74"/>
      <c r="B397" s="38"/>
      <c r="C397" s="38"/>
      <c r="D397" s="38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38"/>
      <c r="AM397" s="38"/>
      <c r="AN397" s="75"/>
      <c r="AO397" s="75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8"/>
      <c r="BR397" s="38"/>
      <c r="BS397" s="38"/>
      <c r="BT397" s="38"/>
      <c r="BU397" s="38"/>
      <c r="BV397" s="38"/>
    </row>
    <row r="398" ht="14.25" customHeight="1">
      <c r="A398" s="74"/>
      <c r="B398" s="38"/>
      <c r="C398" s="38"/>
      <c r="D398" s="38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38"/>
      <c r="AM398" s="38"/>
      <c r="AN398" s="75"/>
      <c r="AO398" s="75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  <c r="BQ398" s="38"/>
      <c r="BR398" s="38"/>
      <c r="BS398" s="38"/>
      <c r="BT398" s="38"/>
      <c r="BU398" s="38"/>
      <c r="BV398" s="38"/>
    </row>
    <row r="399" ht="14.25" customHeight="1">
      <c r="A399" s="74"/>
      <c r="B399" s="38"/>
      <c r="C399" s="38"/>
      <c r="D399" s="38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38"/>
      <c r="AM399" s="38"/>
      <c r="AN399" s="75"/>
      <c r="AO399" s="75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  <c r="BP399" s="38"/>
      <c r="BQ399" s="38"/>
      <c r="BR399" s="38"/>
      <c r="BS399" s="38"/>
      <c r="BT399" s="38"/>
      <c r="BU399" s="38"/>
      <c r="BV399" s="38"/>
    </row>
    <row r="400" ht="14.25" customHeight="1">
      <c r="A400" s="74"/>
      <c r="B400" s="38"/>
      <c r="C400" s="38"/>
      <c r="D400" s="38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38"/>
      <c r="AM400" s="38"/>
      <c r="AN400" s="75"/>
      <c r="AO400" s="75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</row>
    <row r="401" ht="14.25" customHeight="1">
      <c r="A401" s="74"/>
      <c r="B401" s="38"/>
      <c r="C401" s="38"/>
      <c r="D401" s="38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38"/>
      <c r="AM401" s="38"/>
      <c r="AN401" s="75"/>
      <c r="AO401" s="75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  <c r="BP401" s="38"/>
      <c r="BQ401" s="38"/>
      <c r="BR401" s="38"/>
      <c r="BS401" s="38"/>
      <c r="BT401" s="38"/>
      <c r="BU401" s="38"/>
      <c r="BV401" s="38"/>
    </row>
    <row r="402" ht="14.25" customHeight="1">
      <c r="A402" s="74"/>
      <c r="B402" s="38"/>
      <c r="C402" s="38"/>
      <c r="D402" s="38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38"/>
      <c r="AM402" s="38"/>
      <c r="AN402" s="75"/>
      <c r="AO402" s="75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  <c r="BP402" s="38"/>
      <c r="BQ402" s="38"/>
      <c r="BR402" s="38"/>
      <c r="BS402" s="38"/>
      <c r="BT402" s="38"/>
      <c r="BU402" s="38"/>
      <c r="BV402" s="38"/>
    </row>
    <row r="403" ht="14.25" customHeight="1">
      <c r="A403" s="74"/>
      <c r="B403" s="38"/>
      <c r="C403" s="38"/>
      <c r="D403" s="38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38"/>
      <c r="AM403" s="38"/>
      <c r="AN403" s="75"/>
      <c r="AO403" s="75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  <c r="BP403" s="38"/>
      <c r="BQ403" s="38"/>
      <c r="BR403" s="38"/>
      <c r="BS403" s="38"/>
      <c r="BT403" s="38"/>
      <c r="BU403" s="38"/>
      <c r="BV403" s="38"/>
    </row>
    <row r="404" ht="14.25" customHeight="1">
      <c r="A404" s="74"/>
      <c r="B404" s="38"/>
      <c r="C404" s="38"/>
      <c r="D404" s="38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38"/>
      <c r="AM404" s="38"/>
      <c r="AN404" s="75"/>
      <c r="AO404" s="75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  <c r="BP404" s="38"/>
      <c r="BQ404" s="38"/>
      <c r="BR404" s="38"/>
      <c r="BS404" s="38"/>
      <c r="BT404" s="38"/>
      <c r="BU404" s="38"/>
      <c r="BV404" s="38"/>
    </row>
    <row r="405" ht="14.25" customHeight="1">
      <c r="A405" s="74"/>
      <c r="B405" s="38"/>
      <c r="C405" s="38"/>
      <c r="D405" s="38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38"/>
      <c r="AM405" s="38"/>
      <c r="AN405" s="75"/>
      <c r="AO405" s="75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  <c r="BP405" s="38"/>
      <c r="BQ405" s="38"/>
      <c r="BR405" s="38"/>
      <c r="BS405" s="38"/>
      <c r="BT405" s="38"/>
      <c r="BU405" s="38"/>
      <c r="BV405" s="38"/>
    </row>
    <row r="406" ht="14.25" customHeight="1">
      <c r="A406" s="74"/>
      <c r="B406" s="38"/>
      <c r="C406" s="38"/>
      <c r="D406" s="38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38"/>
      <c r="AM406" s="38"/>
      <c r="AN406" s="75"/>
      <c r="AO406" s="75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  <c r="BP406" s="38"/>
      <c r="BQ406" s="38"/>
      <c r="BR406" s="38"/>
      <c r="BS406" s="38"/>
      <c r="BT406" s="38"/>
      <c r="BU406" s="38"/>
      <c r="BV406" s="38"/>
    </row>
    <row r="407" ht="14.25" customHeight="1">
      <c r="A407" s="74"/>
      <c r="B407" s="38"/>
      <c r="C407" s="38"/>
      <c r="D407" s="38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38"/>
      <c r="AM407" s="38"/>
      <c r="AN407" s="75"/>
      <c r="AO407" s="75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</row>
    <row r="408" ht="14.25" customHeight="1">
      <c r="A408" s="74"/>
      <c r="B408" s="38"/>
      <c r="C408" s="38"/>
      <c r="D408" s="38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38"/>
      <c r="AM408" s="38"/>
      <c r="AN408" s="75"/>
      <c r="AO408" s="75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  <c r="BP408" s="38"/>
      <c r="BQ408" s="38"/>
      <c r="BR408" s="38"/>
      <c r="BS408" s="38"/>
      <c r="BT408" s="38"/>
      <c r="BU408" s="38"/>
      <c r="BV408" s="38"/>
    </row>
    <row r="409" ht="14.25" customHeight="1">
      <c r="A409" s="74"/>
      <c r="B409" s="38"/>
      <c r="C409" s="38"/>
      <c r="D409" s="38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38"/>
      <c r="AM409" s="38"/>
      <c r="AN409" s="75"/>
      <c r="AO409" s="75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  <c r="BP409" s="38"/>
      <c r="BQ409" s="38"/>
      <c r="BR409" s="38"/>
      <c r="BS409" s="38"/>
      <c r="BT409" s="38"/>
      <c r="BU409" s="38"/>
      <c r="BV409" s="38"/>
    </row>
    <row r="410" ht="14.25" customHeight="1">
      <c r="A410" s="74"/>
      <c r="B410" s="38"/>
      <c r="C410" s="38"/>
      <c r="D410" s="38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38"/>
      <c r="AM410" s="38"/>
      <c r="AN410" s="75"/>
      <c r="AO410" s="75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  <c r="BP410" s="38"/>
      <c r="BQ410" s="38"/>
      <c r="BR410" s="38"/>
      <c r="BS410" s="38"/>
      <c r="BT410" s="38"/>
      <c r="BU410" s="38"/>
      <c r="BV410" s="38"/>
    </row>
    <row r="411" ht="14.25" customHeight="1">
      <c r="A411" s="74"/>
      <c r="B411" s="38"/>
      <c r="C411" s="38"/>
      <c r="D411" s="38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38"/>
      <c r="AM411" s="38"/>
      <c r="AN411" s="75"/>
      <c r="AO411" s="75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  <c r="BP411" s="38"/>
      <c r="BQ411" s="38"/>
      <c r="BR411" s="38"/>
      <c r="BS411" s="38"/>
      <c r="BT411" s="38"/>
      <c r="BU411" s="38"/>
      <c r="BV411" s="38"/>
    </row>
    <row r="412" ht="14.25" customHeight="1">
      <c r="A412" s="74"/>
      <c r="B412" s="38"/>
      <c r="C412" s="38"/>
      <c r="D412" s="38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38"/>
      <c r="AM412" s="38"/>
      <c r="AN412" s="75"/>
      <c r="AO412" s="75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  <c r="BP412" s="38"/>
      <c r="BQ412" s="38"/>
      <c r="BR412" s="38"/>
      <c r="BS412" s="38"/>
      <c r="BT412" s="38"/>
      <c r="BU412" s="38"/>
      <c r="BV412" s="38"/>
    </row>
    <row r="413" ht="14.25" customHeight="1">
      <c r="A413" s="74"/>
      <c r="B413" s="38"/>
      <c r="C413" s="38"/>
      <c r="D413" s="38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38"/>
      <c r="AM413" s="38"/>
      <c r="AN413" s="75"/>
      <c r="AO413" s="75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  <c r="BP413" s="38"/>
      <c r="BQ413" s="38"/>
      <c r="BR413" s="38"/>
      <c r="BS413" s="38"/>
      <c r="BT413" s="38"/>
      <c r="BU413" s="38"/>
      <c r="BV413" s="38"/>
    </row>
    <row r="414" ht="14.25" customHeight="1">
      <c r="A414" s="74"/>
      <c r="B414" s="38"/>
      <c r="C414" s="38"/>
      <c r="D414" s="38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38"/>
      <c r="AM414" s="38"/>
      <c r="AN414" s="75"/>
      <c r="AO414" s="75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  <c r="BP414" s="38"/>
      <c r="BQ414" s="38"/>
      <c r="BR414" s="38"/>
      <c r="BS414" s="38"/>
      <c r="BT414" s="38"/>
      <c r="BU414" s="38"/>
      <c r="BV414" s="38"/>
    </row>
    <row r="415" ht="14.25" customHeight="1">
      <c r="A415" s="74"/>
      <c r="B415" s="38"/>
      <c r="C415" s="38"/>
      <c r="D415" s="38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38"/>
      <c r="AM415" s="38"/>
      <c r="AN415" s="75"/>
      <c r="AO415" s="75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</row>
    <row r="416" ht="14.25" customHeight="1">
      <c r="A416" s="74"/>
      <c r="B416" s="38"/>
      <c r="C416" s="38"/>
      <c r="D416" s="38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38"/>
      <c r="AM416" s="38"/>
      <c r="AN416" s="75"/>
      <c r="AO416" s="75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  <c r="BP416" s="38"/>
      <c r="BQ416" s="38"/>
      <c r="BR416" s="38"/>
      <c r="BS416" s="38"/>
      <c r="BT416" s="38"/>
      <c r="BU416" s="38"/>
      <c r="BV416" s="38"/>
    </row>
    <row r="417" ht="14.25" customHeight="1">
      <c r="A417" s="74"/>
      <c r="B417" s="38"/>
      <c r="C417" s="38"/>
      <c r="D417" s="38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38"/>
      <c r="AM417" s="38"/>
      <c r="AN417" s="75"/>
      <c r="AO417" s="75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  <c r="BP417" s="38"/>
      <c r="BQ417" s="38"/>
      <c r="BR417" s="38"/>
      <c r="BS417" s="38"/>
      <c r="BT417" s="38"/>
      <c r="BU417" s="38"/>
      <c r="BV417" s="38"/>
    </row>
    <row r="418" ht="14.25" customHeight="1">
      <c r="A418" s="74"/>
      <c r="B418" s="38"/>
      <c r="C418" s="38"/>
      <c r="D418" s="38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38"/>
      <c r="AM418" s="38"/>
      <c r="AN418" s="75"/>
      <c r="AO418" s="75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  <c r="BP418" s="38"/>
      <c r="BQ418" s="38"/>
      <c r="BR418" s="38"/>
      <c r="BS418" s="38"/>
      <c r="BT418" s="38"/>
      <c r="BU418" s="38"/>
      <c r="BV418" s="38"/>
    </row>
    <row r="419" ht="14.25" customHeight="1">
      <c r="A419" s="74"/>
      <c r="B419" s="38"/>
      <c r="C419" s="38"/>
      <c r="D419" s="38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38"/>
      <c r="AM419" s="38"/>
      <c r="AN419" s="75"/>
      <c r="AO419" s="75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  <c r="BP419" s="38"/>
      <c r="BQ419" s="38"/>
      <c r="BR419" s="38"/>
      <c r="BS419" s="38"/>
      <c r="BT419" s="38"/>
      <c r="BU419" s="38"/>
      <c r="BV419" s="38"/>
    </row>
    <row r="420" ht="14.25" customHeight="1">
      <c r="A420" s="74"/>
      <c r="B420" s="38"/>
      <c r="C420" s="38"/>
      <c r="D420" s="38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38"/>
      <c r="AM420" s="38"/>
      <c r="AN420" s="75"/>
      <c r="AO420" s="75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  <c r="BP420" s="38"/>
      <c r="BQ420" s="38"/>
      <c r="BR420" s="38"/>
      <c r="BS420" s="38"/>
      <c r="BT420" s="38"/>
      <c r="BU420" s="38"/>
      <c r="BV420" s="38"/>
    </row>
    <row r="421" ht="14.25" customHeight="1">
      <c r="A421" s="74"/>
      <c r="B421" s="38"/>
      <c r="C421" s="38"/>
      <c r="D421" s="38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38"/>
      <c r="AM421" s="38"/>
      <c r="AN421" s="75"/>
      <c r="AO421" s="75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  <c r="BP421" s="38"/>
      <c r="BQ421" s="38"/>
      <c r="BR421" s="38"/>
      <c r="BS421" s="38"/>
      <c r="BT421" s="38"/>
      <c r="BU421" s="38"/>
      <c r="BV421" s="38"/>
    </row>
    <row r="422" ht="14.25" customHeight="1">
      <c r="A422" s="74"/>
      <c r="B422" s="38"/>
      <c r="C422" s="38"/>
      <c r="D422" s="38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38"/>
      <c r="AM422" s="38"/>
      <c r="AN422" s="75"/>
      <c r="AO422" s="75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</row>
    <row r="423" ht="14.25" customHeight="1">
      <c r="A423" s="74"/>
      <c r="B423" s="38"/>
      <c r="C423" s="38"/>
      <c r="D423" s="38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38"/>
      <c r="AM423" s="38"/>
      <c r="AN423" s="75"/>
      <c r="AO423" s="75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  <c r="BP423" s="38"/>
      <c r="BQ423" s="38"/>
      <c r="BR423" s="38"/>
      <c r="BS423" s="38"/>
      <c r="BT423" s="38"/>
      <c r="BU423" s="38"/>
      <c r="BV423" s="38"/>
    </row>
    <row r="424" ht="14.25" customHeight="1">
      <c r="A424" s="74"/>
      <c r="B424" s="38"/>
      <c r="C424" s="38"/>
      <c r="D424" s="38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38"/>
      <c r="AM424" s="38"/>
      <c r="AN424" s="75"/>
      <c r="AO424" s="75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  <c r="BP424" s="38"/>
      <c r="BQ424" s="38"/>
      <c r="BR424" s="38"/>
      <c r="BS424" s="38"/>
      <c r="BT424" s="38"/>
      <c r="BU424" s="38"/>
      <c r="BV424" s="38"/>
    </row>
    <row r="425" ht="14.25" customHeight="1">
      <c r="A425" s="74"/>
      <c r="B425" s="38"/>
      <c r="C425" s="38"/>
      <c r="D425" s="38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38"/>
      <c r="AM425" s="38"/>
      <c r="AN425" s="75"/>
      <c r="AO425" s="75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  <c r="BP425" s="38"/>
      <c r="BQ425" s="38"/>
      <c r="BR425" s="38"/>
      <c r="BS425" s="38"/>
      <c r="BT425" s="38"/>
      <c r="BU425" s="38"/>
      <c r="BV425" s="38"/>
    </row>
    <row r="426" ht="14.25" customHeight="1">
      <c r="A426" s="74"/>
      <c r="B426" s="38"/>
      <c r="C426" s="38"/>
      <c r="D426" s="38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38"/>
      <c r="AM426" s="38"/>
      <c r="AN426" s="75"/>
      <c r="AO426" s="75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  <c r="BP426" s="38"/>
      <c r="BQ426" s="38"/>
      <c r="BR426" s="38"/>
      <c r="BS426" s="38"/>
      <c r="BT426" s="38"/>
      <c r="BU426" s="38"/>
      <c r="BV426" s="38"/>
    </row>
    <row r="427" ht="14.25" customHeight="1">
      <c r="A427" s="74"/>
      <c r="B427" s="38"/>
      <c r="C427" s="38"/>
      <c r="D427" s="38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38"/>
      <c r="AM427" s="38"/>
      <c r="AN427" s="75"/>
      <c r="AO427" s="75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  <c r="BP427" s="38"/>
      <c r="BQ427" s="38"/>
      <c r="BR427" s="38"/>
      <c r="BS427" s="38"/>
      <c r="BT427" s="38"/>
      <c r="BU427" s="38"/>
      <c r="BV427" s="38"/>
    </row>
    <row r="428" ht="14.25" customHeight="1">
      <c r="A428" s="74"/>
      <c r="B428" s="38"/>
      <c r="C428" s="38"/>
      <c r="D428" s="38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38"/>
      <c r="AM428" s="38"/>
      <c r="AN428" s="75"/>
      <c r="AO428" s="75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  <c r="BP428" s="38"/>
      <c r="BQ428" s="38"/>
      <c r="BR428" s="38"/>
      <c r="BS428" s="38"/>
      <c r="BT428" s="38"/>
      <c r="BU428" s="38"/>
      <c r="BV428" s="38"/>
    </row>
    <row r="429" ht="14.25" customHeight="1">
      <c r="A429" s="74"/>
      <c r="B429" s="38"/>
      <c r="C429" s="38"/>
      <c r="D429" s="38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38"/>
      <c r="AM429" s="38"/>
      <c r="AN429" s="75"/>
      <c r="AO429" s="75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</row>
    <row r="430" ht="14.25" customHeight="1">
      <c r="A430" s="74"/>
      <c r="B430" s="38"/>
      <c r="C430" s="38"/>
      <c r="D430" s="38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38"/>
      <c r="AM430" s="38"/>
      <c r="AN430" s="75"/>
      <c r="AO430" s="75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  <c r="BP430" s="38"/>
      <c r="BQ430" s="38"/>
      <c r="BR430" s="38"/>
      <c r="BS430" s="38"/>
      <c r="BT430" s="38"/>
      <c r="BU430" s="38"/>
      <c r="BV430" s="38"/>
    </row>
    <row r="431" ht="14.25" customHeight="1">
      <c r="A431" s="74"/>
      <c r="B431" s="38"/>
      <c r="C431" s="38"/>
      <c r="D431" s="38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38"/>
      <c r="AM431" s="38"/>
      <c r="AN431" s="75"/>
      <c r="AO431" s="75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  <c r="BP431" s="38"/>
      <c r="BQ431" s="38"/>
      <c r="BR431" s="38"/>
      <c r="BS431" s="38"/>
      <c r="BT431" s="38"/>
      <c r="BU431" s="38"/>
      <c r="BV431" s="38"/>
    </row>
    <row r="432" ht="14.25" customHeight="1">
      <c r="A432" s="74"/>
      <c r="B432" s="38"/>
      <c r="C432" s="38"/>
      <c r="D432" s="38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38"/>
      <c r="AM432" s="38"/>
      <c r="AN432" s="75"/>
      <c r="AO432" s="75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  <c r="BP432" s="38"/>
      <c r="BQ432" s="38"/>
      <c r="BR432" s="38"/>
      <c r="BS432" s="38"/>
      <c r="BT432" s="38"/>
      <c r="BU432" s="38"/>
      <c r="BV432" s="38"/>
    </row>
    <row r="433" ht="14.25" customHeight="1">
      <c r="A433" s="74"/>
      <c r="B433" s="38"/>
      <c r="C433" s="38"/>
      <c r="D433" s="38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38"/>
      <c r="AM433" s="38"/>
      <c r="AN433" s="75"/>
      <c r="AO433" s="75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  <c r="BP433" s="38"/>
      <c r="BQ433" s="38"/>
      <c r="BR433" s="38"/>
      <c r="BS433" s="38"/>
      <c r="BT433" s="38"/>
      <c r="BU433" s="38"/>
      <c r="BV433" s="38"/>
    </row>
    <row r="434" ht="14.25" customHeight="1">
      <c r="A434" s="74"/>
      <c r="B434" s="38"/>
      <c r="C434" s="38"/>
      <c r="D434" s="38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38"/>
      <c r="AM434" s="38"/>
      <c r="AN434" s="75"/>
      <c r="AO434" s="75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  <c r="BP434" s="38"/>
      <c r="BQ434" s="38"/>
      <c r="BR434" s="38"/>
      <c r="BS434" s="38"/>
      <c r="BT434" s="38"/>
      <c r="BU434" s="38"/>
      <c r="BV434" s="38"/>
    </row>
    <row r="435" ht="14.25" customHeight="1">
      <c r="A435" s="74"/>
      <c r="B435" s="38"/>
      <c r="C435" s="38"/>
      <c r="D435" s="38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38"/>
      <c r="AM435" s="38"/>
      <c r="AN435" s="75"/>
      <c r="AO435" s="75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  <c r="BP435" s="38"/>
      <c r="BQ435" s="38"/>
      <c r="BR435" s="38"/>
      <c r="BS435" s="38"/>
      <c r="BT435" s="38"/>
      <c r="BU435" s="38"/>
      <c r="BV435" s="38"/>
    </row>
    <row r="436" ht="14.25" customHeight="1">
      <c r="A436" s="74"/>
      <c r="B436" s="38"/>
      <c r="C436" s="38"/>
      <c r="D436" s="38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38"/>
      <c r="AM436" s="38"/>
      <c r="AN436" s="75"/>
      <c r="AO436" s="75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  <c r="BP436" s="38"/>
      <c r="BQ436" s="38"/>
      <c r="BR436" s="38"/>
      <c r="BS436" s="38"/>
      <c r="BT436" s="38"/>
      <c r="BU436" s="38"/>
      <c r="BV436" s="38"/>
    </row>
    <row r="437" ht="14.25" customHeight="1">
      <c r="A437" s="74"/>
      <c r="B437" s="38"/>
      <c r="C437" s="38"/>
      <c r="D437" s="38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38"/>
      <c r="AM437" s="38"/>
      <c r="AN437" s="75"/>
      <c r="AO437" s="75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</row>
    <row r="438" ht="14.25" customHeight="1">
      <c r="A438" s="74"/>
      <c r="B438" s="38"/>
      <c r="C438" s="38"/>
      <c r="D438" s="38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38"/>
      <c r="AM438" s="38"/>
      <c r="AN438" s="75"/>
      <c r="AO438" s="75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  <c r="BP438" s="38"/>
      <c r="BQ438" s="38"/>
      <c r="BR438" s="38"/>
      <c r="BS438" s="38"/>
      <c r="BT438" s="38"/>
      <c r="BU438" s="38"/>
      <c r="BV438" s="38"/>
    </row>
    <row r="439" ht="14.25" customHeight="1">
      <c r="A439" s="74"/>
      <c r="B439" s="38"/>
      <c r="C439" s="38"/>
      <c r="D439" s="38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38"/>
      <c r="AM439" s="38"/>
      <c r="AN439" s="75"/>
      <c r="AO439" s="75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  <c r="BP439" s="38"/>
      <c r="BQ439" s="38"/>
      <c r="BR439" s="38"/>
      <c r="BS439" s="38"/>
      <c r="BT439" s="38"/>
      <c r="BU439" s="38"/>
      <c r="BV439" s="38"/>
    </row>
    <row r="440" ht="14.25" customHeight="1">
      <c r="A440" s="74"/>
      <c r="B440" s="38"/>
      <c r="C440" s="38"/>
      <c r="D440" s="38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38"/>
      <c r="AM440" s="38"/>
      <c r="AN440" s="75"/>
      <c r="AO440" s="75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  <c r="BP440" s="38"/>
      <c r="BQ440" s="38"/>
      <c r="BR440" s="38"/>
      <c r="BS440" s="38"/>
      <c r="BT440" s="38"/>
      <c r="BU440" s="38"/>
      <c r="BV440" s="38"/>
    </row>
    <row r="441" ht="14.25" customHeight="1">
      <c r="A441" s="74"/>
      <c r="B441" s="38"/>
      <c r="C441" s="38"/>
      <c r="D441" s="38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38"/>
      <c r="AM441" s="38"/>
      <c r="AN441" s="75"/>
      <c r="AO441" s="75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  <c r="BP441" s="38"/>
      <c r="BQ441" s="38"/>
      <c r="BR441" s="38"/>
      <c r="BS441" s="38"/>
      <c r="BT441" s="38"/>
      <c r="BU441" s="38"/>
      <c r="BV441" s="38"/>
    </row>
    <row r="442" ht="14.25" customHeight="1">
      <c r="A442" s="74"/>
      <c r="B442" s="38"/>
      <c r="C442" s="38"/>
      <c r="D442" s="38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38"/>
      <c r="AM442" s="38"/>
      <c r="AN442" s="75"/>
      <c r="AO442" s="75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  <c r="BP442" s="38"/>
      <c r="BQ442" s="38"/>
      <c r="BR442" s="38"/>
      <c r="BS442" s="38"/>
      <c r="BT442" s="38"/>
      <c r="BU442" s="38"/>
      <c r="BV442" s="38"/>
    </row>
    <row r="443" ht="14.25" customHeight="1">
      <c r="A443" s="74"/>
      <c r="B443" s="38"/>
      <c r="C443" s="38"/>
      <c r="D443" s="38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38"/>
      <c r="AM443" s="38"/>
      <c r="AN443" s="75"/>
      <c r="AO443" s="75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  <c r="BP443" s="38"/>
      <c r="BQ443" s="38"/>
      <c r="BR443" s="38"/>
      <c r="BS443" s="38"/>
      <c r="BT443" s="38"/>
      <c r="BU443" s="38"/>
      <c r="BV443" s="38"/>
    </row>
    <row r="444" ht="14.25" customHeight="1">
      <c r="A444" s="74"/>
      <c r="B444" s="38"/>
      <c r="C444" s="38"/>
      <c r="D444" s="38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38"/>
      <c r="AM444" s="38"/>
      <c r="AN444" s="75"/>
      <c r="AO444" s="75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</row>
    <row r="445" ht="14.25" customHeight="1">
      <c r="A445" s="74"/>
      <c r="B445" s="38"/>
      <c r="C445" s="38"/>
      <c r="D445" s="38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38"/>
      <c r="AM445" s="38"/>
      <c r="AN445" s="75"/>
      <c r="AO445" s="75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  <c r="BP445" s="38"/>
      <c r="BQ445" s="38"/>
      <c r="BR445" s="38"/>
      <c r="BS445" s="38"/>
      <c r="BT445" s="38"/>
      <c r="BU445" s="38"/>
      <c r="BV445" s="38"/>
    </row>
    <row r="446" ht="14.25" customHeight="1">
      <c r="A446" s="74"/>
      <c r="B446" s="38"/>
      <c r="C446" s="38"/>
      <c r="D446" s="38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38"/>
      <c r="AM446" s="38"/>
      <c r="AN446" s="75"/>
      <c r="AO446" s="75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  <c r="BP446" s="38"/>
      <c r="BQ446" s="38"/>
      <c r="BR446" s="38"/>
      <c r="BS446" s="38"/>
      <c r="BT446" s="38"/>
      <c r="BU446" s="38"/>
      <c r="BV446" s="38"/>
    </row>
    <row r="447" ht="14.25" customHeight="1">
      <c r="A447" s="74"/>
      <c r="B447" s="38"/>
      <c r="C447" s="38"/>
      <c r="D447" s="38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38"/>
      <c r="AM447" s="38"/>
      <c r="AN447" s="75"/>
      <c r="AO447" s="75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  <c r="BP447" s="38"/>
      <c r="BQ447" s="38"/>
      <c r="BR447" s="38"/>
      <c r="BS447" s="38"/>
      <c r="BT447" s="38"/>
      <c r="BU447" s="38"/>
      <c r="BV447" s="38"/>
    </row>
    <row r="448" ht="14.25" customHeight="1">
      <c r="A448" s="74"/>
      <c r="B448" s="38"/>
      <c r="C448" s="38"/>
      <c r="D448" s="38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38"/>
      <c r="AM448" s="38"/>
      <c r="AN448" s="75"/>
      <c r="AO448" s="75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  <c r="BP448" s="38"/>
      <c r="BQ448" s="38"/>
      <c r="BR448" s="38"/>
      <c r="BS448" s="38"/>
      <c r="BT448" s="38"/>
      <c r="BU448" s="38"/>
      <c r="BV448" s="38"/>
    </row>
    <row r="449" ht="14.25" customHeight="1">
      <c r="A449" s="74"/>
      <c r="B449" s="38"/>
      <c r="C449" s="38"/>
      <c r="D449" s="38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38"/>
      <c r="AM449" s="38"/>
      <c r="AN449" s="75"/>
      <c r="AO449" s="75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  <c r="BP449" s="38"/>
      <c r="BQ449" s="38"/>
      <c r="BR449" s="38"/>
      <c r="BS449" s="38"/>
      <c r="BT449" s="38"/>
      <c r="BU449" s="38"/>
      <c r="BV449" s="38"/>
    </row>
    <row r="450" ht="14.25" customHeight="1">
      <c r="A450" s="74"/>
      <c r="B450" s="38"/>
      <c r="C450" s="38"/>
      <c r="D450" s="38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38"/>
      <c r="AM450" s="38"/>
      <c r="AN450" s="75"/>
      <c r="AO450" s="75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  <c r="BP450" s="38"/>
      <c r="BQ450" s="38"/>
      <c r="BR450" s="38"/>
      <c r="BS450" s="38"/>
      <c r="BT450" s="38"/>
      <c r="BU450" s="38"/>
      <c r="BV450" s="38"/>
    </row>
    <row r="451" ht="14.25" customHeight="1">
      <c r="A451" s="74"/>
      <c r="B451" s="38"/>
      <c r="C451" s="38"/>
      <c r="D451" s="38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38"/>
      <c r="AM451" s="38"/>
      <c r="AN451" s="75"/>
      <c r="AO451" s="75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</row>
    <row r="452" ht="14.25" customHeight="1">
      <c r="A452" s="74"/>
      <c r="B452" s="38"/>
      <c r="C452" s="38"/>
      <c r="D452" s="38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38"/>
      <c r="AM452" s="38"/>
      <c r="AN452" s="75"/>
      <c r="AO452" s="75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  <c r="BP452" s="38"/>
      <c r="BQ452" s="38"/>
      <c r="BR452" s="38"/>
      <c r="BS452" s="38"/>
      <c r="BT452" s="38"/>
      <c r="BU452" s="38"/>
      <c r="BV452" s="38"/>
    </row>
    <row r="453" ht="14.25" customHeight="1">
      <c r="A453" s="74"/>
      <c r="B453" s="38"/>
      <c r="C453" s="38"/>
      <c r="D453" s="38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38"/>
      <c r="AM453" s="38"/>
      <c r="AN453" s="75"/>
      <c r="AO453" s="75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  <c r="BP453" s="38"/>
      <c r="BQ453" s="38"/>
      <c r="BR453" s="38"/>
      <c r="BS453" s="38"/>
      <c r="BT453" s="38"/>
      <c r="BU453" s="38"/>
      <c r="BV453" s="38"/>
    </row>
    <row r="454" ht="14.25" customHeight="1">
      <c r="A454" s="74"/>
      <c r="B454" s="38"/>
      <c r="C454" s="38"/>
      <c r="D454" s="38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38"/>
      <c r="AM454" s="38"/>
      <c r="AN454" s="75"/>
      <c r="AO454" s="75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  <c r="BP454" s="38"/>
      <c r="BQ454" s="38"/>
      <c r="BR454" s="38"/>
      <c r="BS454" s="38"/>
      <c r="BT454" s="38"/>
      <c r="BU454" s="38"/>
      <c r="BV454" s="38"/>
    </row>
    <row r="455" ht="14.25" customHeight="1">
      <c r="A455" s="74"/>
      <c r="B455" s="38"/>
      <c r="C455" s="38"/>
      <c r="D455" s="38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38"/>
      <c r="AM455" s="38"/>
      <c r="AN455" s="75"/>
      <c r="AO455" s="75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  <c r="BP455" s="38"/>
      <c r="BQ455" s="38"/>
      <c r="BR455" s="38"/>
      <c r="BS455" s="38"/>
      <c r="BT455" s="38"/>
      <c r="BU455" s="38"/>
      <c r="BV455" s="38"/>
    </row>
    <row r="456" ht="14.25" customHeight="1">
      <c r="A456" s="74"/>
      <c r="B456" s="38"/>
      <c r="C456" s="38"/>
      <c r="D456" s="38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38"/>
      <c r="AM456" s="38"/>
      <c r="AN456" s="75"/>
      <c r="AO456" s="75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  <c r="BP456" s="38"/>
      <c r="BQ456" s="38"/>
      <c r="BR456" s="38"/>
      <c r="BS456" s="38"/>
      <c r="BT456" s="38"/>
      <c r="BU456" s="38"/>
      <c r="BV456" s="38"/>
    </row>
    <row r="457" ht="14.25" customHeight="1">
      <c r="A457" s="74"/>
      <c r="B457" s="38"/>
      <c r="C457" s="38"/>
      <c r="D457" s="38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38"/>
      <c r="AM457" s="38"/>
      <c r="AN457" s="75"/>
      <c r="AO457" s="75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  <c r="BP457" s="38"/>
      <c r="BQ457" s="38"/>
      <c r="BR457" s="38"/>
      <c r="BS457" s="38"/>
      <c r="BT457" s="38"/>
      <c r="BU457" s="38"/>
      <c r="BV457" s="38"/>
    </row>
    <row r="458" ht="14.25" customHeight="1">
      <c r="A458" s="74"/>
      <c r="B458" s="38"/>
      <c r="C458" s="38"/>
      <c r="D458" s="38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38"/>
      <c r="AM458" s="38"/>
      <c r="AN458" s="75"/>
      <c r="AO458" s="75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  <c r="BP458" s="38"/>
      <c r="BQ458" s="38"/>
      <c r="BR458" s="38"/>
      <c r="BS458" s="38"/>
      <c r="BT458" s="38"/>
      <c r="BU458" s="38"/>
      <c r="BV458" s="38"/>
    </row>
    <row r="459" ht="14.25" customHeight="1">
      <c r="A459" s="74"/>
      <c r="B459" s="38"/>
      <c r="C459" s="38"/>
      <c r="D459" s="38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38"/>
      <c r="AM459" s="38"/>
      <c r="AN459" s="75"/>
      <c r="AO459" s="75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</row>
    <row r="460" ht="14.25" customHeight="1">
      <c r="A460" s="74"/>
      <c r="B460" s="38"/>
      <c r="C460" s="38"/>
      <c r="D460" s="38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38"/>
      <c r="AM460" s="38"/>
      <c r="AN460" s="75"/>
      <c r="AO460" s="75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  <c r="BP460" s="38"/>
      <c r="BQ460" s="38"/>
      <c r="BR460" s="38"/>
      <c r="BS460" s="38"/>
      <c r="BT460" s="38"/>
      <c r="BU460" s="38"/>
      <c r="BV460" s="38"/>
    </row>
    <row r="461" ht="14.25" customHeight="1">
      <c r="A461" s="74"/>
      <c r="B461" s="38"/>
      <c r="C461" s="38"/>
      <c r="D461" s="38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38"/>
      <c r="AM461" s="38"/>
      <c r="AN461" s="75"/>
      <c r="AO461" s="75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  <c r="BP461" s="38"/>
      <c r="BQ461" s="38"/>
      <c r="BR461" s="38"/>
      <c r="BS461" s="38"/>
      <c r="BT461" s="38"/>
      <c r="BU461" s="38"/>
      <c r="BV461" s="38"/>
    </row>
    <row r="462" ht="14.25" customHeight="1">
      <c r="A462" s="74"/>
      <c r="B462" s="38"/>
      <c r="C462" s="38"/>
      <c r="D462" s="38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38"/>
      <c r="AM462" s="38"/>
      <c r="AN462" s="75"/>
      <c r="AO462" s="75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  <c r="BP462" s="38"/>
      <c r="BQ462" s="38"/>
      <c r="BR462" s="38"/>
      <c r="BS462" s="38"/>
      <c r="BT462" s="38"/>
      <c r="BU462" s="38"/>
      <c r="BV462" s="38"/>
    </row>
    <row r="463" ht="14.25" customHeight="1">
      <c r="A463" s="74"/>
      <c r="B463" s="38"/>
      <c r="C463" s="38"/>
      <c r="D463" s="38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38"/>
      <c r="AM463" s="38"/>
      <c r="AN463" s="75"/>
      <c r="AO463" s="75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  <c r="BP463" s="38"/>
      <c r="BQ463" s="38"/>
      <c r="BR463" s="38"/>
      <c r="BS463" s="38"/>
      <c r="BT463" s="38"/>
      <c r="BU463" s="38"/>
      <c r="BV463" s="38"/>
    </row>
    <row r="464" ht="14.25" customHeight="1">
      <c r="A464" s="74"/>
      <c r="B464" s="38"/>
      <c r="C464" s="38"/>
      <c r="D464" s="38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38"/>
      <c r="AM464" s="38"/>
      <c r="AN464" s="75"/>
      <c r="AO464" s="75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  <c r="BP464" s="38"/>
      <c r="BQ464" s="38"/>
      <c r="BR464" s="38"/>
      <c r="BS464" s="38"/>
      <c r="BT464" s="38"/>
      <c r="BU464" s="38"/>
      <c r="BV464" s="38"/>
    </row>
    <row r="465" ht="14.25" customHeight="1">
      <c r="A465" s="74"/>
      <c r="B465" s="38"/>
      <c r="C465" s="38"/>
      <c r="D465" s="38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38"/>
      <c r="AM465" s="38"/>
      <c r="AN465" s="75"/>
      <c r="AO465" s="75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  <c r="BP465" s="38"/>
      <c r="BQ465" s="38"/>
      <c r="BR465" s="38"/>
      <c r="BS465" s="38"/>
      <c r="BT465" s="38"/>
      <c r="BU465" s="38"/>
      <c r="BV465" s="38"/>
    </row>
    <row r="466" ht="14.25" customHeight="1">
      <c r="A466" s="74"/>
      <c r="B466" s="38"/>
      <c r="C466" s="38"/>
      <c r="D466" s="38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38"/>
      <c r="AM466" s="38"/>
      <c r="AN466" s="75"/>
      <c r="AO466" s="75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</row>
    <row r="467" ht="14.25" customHeight="1">
      <c r="A467" s="74"/>
      <c r="B467" s="38"/>
      <c r="C467" s="38"/>
      <c r="D467" s="38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38"/>
      <c r="AM467" s="38"/>
      <c r="AN467" s="75"/>
      <c r="AO467" s="75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  <c r="BP467" s="38"/>
      <c r="BQ467" s="38"/>
      <c r="BR467" s="38"/>
      <c r="BS467" s="38"/>
      <c r="BT467" s="38"/>
      <c r="BU467" s="38"/>
      <c r="BV467" s="38"/>
    </row>
    <row r="468" ht="14.25" customHeight="1">
      <c r="A468" s="74"/>
      <c r="B468" s="38"/>
      <c r="C468" s="38"/>
      <c r="D468" s="38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38"/>
      <c r="AM468" s="38"/>
      <c r="AN468" s="75"/>
      <c r="AO468" s="75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  <c r="BP468" s="38"/>
      <c r="BQ468" s="38"/>
      <c r="BR468" s="38"/>
      <c r="BS468" s="38"/>
      <c r="BT468" s="38"/>
      <c r="BU468" s="38"/>
      <c r="BV468" s="38"/>
    </row>
    <row r="469" ht="14.25" customHeight="1">
      <c r="A469" s="74"/>
      <c r="B469" s="38"/>
      <c r="C469" s="38"/>
      <c r="D469" s="38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38"/>
      <c r="AM469" s="38"/>
      <c r="AN469" s="75"/>
      <c r="AO469" s="75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  <c r="BP469" s="38"/>
      <c r="BQ469" s="38"/>
      <c r="BR469" s="38"/>
      <c r="BS469" s="38"/>
      <c r="BT469" s="38"/>
      <c r="BU469" s="38"/>
      <c r="BV469" s="38"/>
    </row>
    <row r="470" ht="14.25" customHeight="1">
      <c r="A470" s="74"/>
      <c r="B470" s="38"/>
      <c r="C470" s="38"/>
      <c r="D470" s="38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38"/>
      <c r="AM470" s="38"/>
      <c r="AN470" s="75"/>
      <c r="AO470" s="75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  <c r="BP470" s="38"/>
      <c r="BQ470" s="38"/>
      <c r="BR470" s="38"/>
      <c r="BS470" s="38"/>
      <c r="BT470" s="38"/>
      <c r="BU470" s="38"/>
      <c r="BV470" s="38"/>
    </row>
    <row r="471" ht="14.25" customHeight="1">
      <c r="A471" s="74"/>
      <c r="B471" s="38"/>
      <c r="C471" s="38"/>
      <c r="D471" s="38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38"/>
      <c r="AM471" s="38"/>
      <c r="AN471" s="75"/>
      <c r="AO471" s="75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  <c r="BP471" s="38"/>
      <c r="BQ471" s="38"/>
      <c r="BR471" s="38"/>
      <c r="BS471" s="38"/>
      <c r="BT471" s="38"/>
      <c r="BU471" s="38"/>
      <c r="BV471" s="38"/>
    </row>
    <row r="472" ht="14.25" customHeight="1">
      <c r="A472" s="74"/>
      <c r="B472" s="38"/>
      <c r="C472" s="38"/>
      <c r="D472" s="38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38"/>
      <c r="AM472" s="38"/>
      <c r="AN472" s="75"/>
      <c r="AO472" s="75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  <c r="BP472" s="38"/>
      <c r="BQ472" s="38"/>
      <c r="BR472" s="38"/>
      <c r="BS472" s="38"/>
      <c r="BT472" s="38"/>
      <c r="BU472" s="38"/>
      <c r="BV472" s="38"/>
    </row>
    <row r="473" ht="14.25" customHeight="1">
      <c r="A473" s="74"/>
      <c r="B473" s="38"/>
      <c r="C473" s="38"/>
      <c r="D473" s="38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38"/>
      <c r="AM473" s="38"/>
      <c r="AN473" s="75"/>
      <c r="AO473" s="75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  <c r="BP473" s="38"/>
      <c r="BQ473" s="38"/>
      <c r="BR473" s="38"/>
      <c r="BS473" s="38"/>
      <c r="BT473" s="38"/>
      <c r="BU473" s="38"/>
      <c r="BV473" s="38"/>
    </row>
    <row r="474" ht="14.25" customHeight="1">
      <c r="A474" s="74"/>
      <c r="B474" s="38"/>
      <c r="C474" s="38"/>
      <c r="D474" s="38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38"/>
      <c r="AM474" s="38"/>
      <c r="AN474" s="75"/>
      <c r="AO474" s="75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  <c r="BP474" s="38"/>
      <c r="BQ474" s="38"/>
      <c r="BR474" s="38"/>
      <c r="BS474" s="38"/>
      <c r="BT474" s="38"/>
      <c r="BU474" s="38"/>
      <c r="BV474" s="38"/>
    </row>
    <row r="475" ht="14.25" customHeight="1">
      <c r="A475" s="74"/>
      <c r="B475" s="38"/>
      <c r="C475" s="38"/>
      <c r="D475" s="38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38"/>
      <c r="AM475" s="38"/>
      <c r="AN475" s="75"/>
      <c r="AO475" s="75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  <c r="BP475" s="38"/>
      <c r="BQ475" s="38"/>
      <c r="BR475" s="38"/>
      <c r="BS475" s="38"/>
      <c r="BT475" s="38"/>
      <c r="BU475" s="38"/>
      <c r="BV475" s="38"/>
    </row>
    <row r="476" ht="14.25" customHeight="1">
      <c r="A476" s="74"/>
      <c r="B476" s="38"/>
      <c r="C476" s="38"/>
      <c r="D476" s="38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38"/>
      <c r="AM476" s="38"/>
      <c r="AN476" s="75"/>
      <c r="AO476" s="75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  <c r="BP476" s="38"/>
      <c r="BQ476" s="38"/>
      <c r="BR476" s="38"/>
      <c r="BS476" s="38"/>
      <c r="BT476" s="38"/>
      <c r="BU476" s="38"/>
      <c r="BV476" s="38"/>
    </row>
    <row r="477" ht="14.25" customHeight="1">
      <c r="A477" s="74"/>
      <c r="B477" s="38"/>
      <c r="C477" s="38"/>
      <c r="D477" s="38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38"/>
      <c r="AM477" s="38"/>
      <c r="AN477" s="75"/>
      <c r="AO477" s="75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  <c r="BP477" s="38"/>
      <c r="BQ477" s="38"/>
      <c r="BR477" s="38"/>
      <c r="BS477" s="38"/>
      <c r="BT477" s="38"/>
      <c r="BU477" s="38"/>
      <c r="BV477" s="38"/>
    </row>
    <row r="478" ht="14.25" customHeight="1">
      <c r="A478" s="74"/>
      <c r="B478" s="38"/>
      <c r="C478" s="38"/>
      <c r="D478" s="38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38"/>
      <c r="AM478" s="38"/>
      <c r="AN478" s="75"/>
      <c r="AO478" s="75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  <c r="BP478" s="38"/>
      <c r="BQ478" s="38"/>
      <c r="BR478" s="38"/>
      <c r="BS478" s="38"/>
      <c r="BT478" s="38"/>
      <c r="BU478" s="38"/>
      <c r="BV478" s="38"/>
    </row>
    <row r="479" ht="14.25" customHeight="1">
      <c r="A479" s="74"/>
      <c r="B479" s="38"/>
      <c r="C479" s="38"/>
      <c r="D479" s="38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38"/>
      <c r="AM479" s="38"/>
      <c r="AN479" s="75"/>
      <c r="AO479" s="75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  <c r="BP479" s="38"/>
      <c r="BQ479" s="38"/>
      <c r="BR479" s="38"/>
      <c r="BS479" s="38"/>
      <c r="BT479" s="38"/>
      <c r="BU479" s="38"/>
      <c r="BV479" s="38"/>
    </row>
    <row r="480" ht="14.25" customHeight="1">
      <c r="A480" s="74"/>
      <c r="B480" s="38"/>
      <c r="C480" s="38"/>
      <c r="D480" s="38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38"/>
      <c r="AM480" s="38"/>
      <c r="AN480" s="75"/>
      <c r="AO480" s="75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  <c r="BP480" s="38"/>
      <c r="BQ480" s="38"/>
      <c r="BR480" s="38"/>
      <c r="BS480" s="38"/>
      <c r="BT480" s="38"/>
      <c r="BU480" s="38"/>
      <c r="BV480" s="38"/>
    </row>
    <row r="481" ht="14.25" customHeight="1">
      <c r="A481" s="74"/>
      <c r="B481" s="38"/>
      <c r="C481" s="38"/>
      <c r="D481" s="38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38"/>
      <c r="AM481" s="38"/>
      <c r="AN481" s="75"/>
      <c r="AO481" s="75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  <c r="BP481" s="38"/>
      <c r="BQ481" s="38"/>
      <c r="BR481" s="38"/>
      <c r="BS481" s="38"/>
      <c r="BT481" s="38"/>
      <c r="BU481" s="38"/>
      <c r="BV481" s="38"/>
    </row>
    <row r="482" ht="14.25" customHeight="1">
      <c r="A482" s="74"/>
      <c r="B482" s="38"/>
      <c r="C482" s="38"/>
      <c r="D482" s="38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38"/>
      <c r="AM482" s="38"/>
      <c r="AN482" s="75"/>
      <c r="AO482" s="75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  <c r="BP482" s="38"/>
      <c r="BQ482" s="38"/>
      <c r="BR482" s="38"/>
      <c r="BS482" s="38"/>
      <c r="BT482" s="38"/>
      <c r="BU482" s="38"/>
      <c r="BV482" s="38"/>
    </row>
    <row r="483" ht="14.25" customHeight="1">
      <c r="A483" s="74"/>
      <c r="B483" s="38"/>
      <c r="C483" s="38"/>
      <c r="D483" s="38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38"/>
      <c r="AM483" s="38"/>
      <c r="AN483" s="75"/>
      <c r="AO483" s="75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  <c r="BP483" s="38"/>
      <c r="BQ483" s="38"/>
      <c r="BR483" s="38"/>
      <c r="BS483" s="38"/>
      <c r="BT483" s="38"/>
      <c r="BU483" s="38"/>
      <c r="BV483" s="38"/>
    </row>
    <row r="484" ht="14.25" customHeight="1">
      <c r="A484" s="74"/>
      <c r="B484" s="38"/>
      <c r="C484" s="38"/>
      <c r="D484" s="38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38"/>
      <c r="AM484" s="38"/>
      <c r="AN484" s="75"/>
      <c r="AO484" s="75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  <c r="BP484" s="38"/>
      <c r="BQ484" s="38"/>
      <c r="BR484" s="38"/>
      <c r="BS484" s="38"/>
      <c r="BT484" s="38"/>
      <c r="BU484" s="38"/>
      <c r="BV484" s="38"/>
    </row>
    <row r="485" ht="14.25" customHeight="1">
      <c r="A485" s="74"/>
      <c r="B485" s="38"/>
      <c r="C485" s="38"/>
      <c r="D485" s="38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38"/>
      <c r="AM485" s="38"/>
      <c r="AN485" s="75"/>
      <c r="AO485" s="75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  <c r="BP485" s="38"/>
      <c r="BQ485" s="38"/>
      <c r="BR485" s="38"/>
      <c r="BS485" s="38"/>
      <c r="BT485" s="38"/>
      <c r="BU485" s="38"/>
      <c r="BV485" s="38"/>
    </row>
    <row r="486" ht="14.25" customHeight="1">
      <c r="A486" s="74"/>
      <c r="B486" s="38"/>
      <c r="C486" s="38"/>
      <c r="D486" s="38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38"/>
      <c r="AM486" s="38"/>
      <c r="AN486" s="75"/>
      <c r="AO486" s="75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  <c r="BP486" s="38"/>
      <c r="BQ486" s="38"/>
      <c r="BR486" s="38"/>
      <c r="BS486" s="38"/>
      <c r="BT486" s="38"/>
      <c r="BU486" s="38"/>
      <c r="BV486" s="38"/>
    </row>
    <row r="487" ht="14.25" customHeight="1">
      <c r="A487" s="74"/>
      <c r="B487" s="38"/>
      <c r="C487" s="38"/>
      <c r="D487" s="38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38"/>
      <c r="AM487" s="38"/>
      <c r="AN487" s="75"/>
      <c r="AO487" s="75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  <c r="BP487" s="38"/>
      <c r="BQ487" s="38"/>
      <c r="BR487" s="38"/>
      <c r="BS487" s="38"/>
      <c r="BT487" s="38"/>
      <c r="BU487" s="38"/>
      <c r="BV487" s="38"/>
    </row>
    <row r="488" ht="14.25" customHeight="1">
      <c r="A488" s="74"/>
      <c r="B488" s="38"/>
      <c r="C488" s="38"/>
      <c r="D488" s="38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38"/>
      <c r="AM488" s="38"/>
      <c r="AN488" s="75"/>
      <c r="AO488" s="75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  <c r="BP488" s="38"/>
      <c r="BQ488" s="38"/>
      <c r="BR488" s="38"/>
      <c r="BS488" s="38"/>
      <c r="BT488" s="38"/>
      <c r="BU488" s="38"/>
      <c r="BV488" s="38"/>
    </row>
    <row r="489" ht="14.25" customHeight="1">
      <c r="A489" s="74"/>
      <c r="B489" s="38"/>
      <c r="C489" s="38"/>
      <c r="D489" s="38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38"/>
      <c r="AM489" s="38"/>
      <c r="AN489" s="75"/>
      <c r="AO489" s="75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  <c r="BP489" s="38"/>
      <c r="BQ489" s="38"/>
      <c r="BR489" s="38"/>
      <c r="BS489" s="38"/>
      <c r="BT489" s="38"/>
      <c r="BU489" s="38"/>
      <c r="BV489" s="38"/>
    </row>
    <row r="490" ht="14.25" customHeight="1">
      <c r="A490" s="74"/>
      <c r="B490" s="38"/>
      <c r="C490" s="38"/>
      <c r="D490" s="38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38"/>
      <c r="AM490" s="38"/>
      <c r="AN490" s="75"/>
      <c r="AO490" s="75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  <c r="BP490" s="38"/>
      <c r="BQ490" s="38"/>
      <c r="BR490" s="38"/>
      <c r="BS490" s="38"/>
      <c r="BT490" s="38"/>
      <c r="BU490" s="38"/>
      <c r="BV490" s="38"/>
    </row>
    <row r="491" ht="14.25" customHeight="1">
      <c r="A491" s="74"/>
      <c r="B491" s="38"/>
      <c r="C491" s="38"/>
      <c r="D491" s="38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38"/>
      <c r="AM491" s="38"/>
      <c r="AN491" s="75"/>
      <c r="AO491" s="75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  <c r="BP491" s="38"/>
      <c r="BQ491" s="38"/>
      <c r="BR491" s="38"/>
      <c r="BS491" s="38"/>
      <c r="BT491" s="38"/>
      <c r="BU491" s="38"/>
      <c r="BV491" s="38"/>
    </row>
    <row r="492" ht="14.25" customHeight="1">
      <c r="A492" s="74"/>
      <c r="B492" s="38"/>
      <c r="C492" s="38"/>
      <c r="D492" s="38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38"/>
      <c r="AM492" s="38"/>
      <c r="AN492" s="75"/>
      <c r="AO492" s="75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  <c r="BP492" s="38"/>
      <c r="BQ492" s="38"/>
      <c r="BR492" s="38"/>
      <c r="BS492" s="38"/>
      <c r="BT492" s="38"/>
      <c r="BU492" s="38"/>
      <c r="BV492" s="38"/>
    </row>
    <row r="493" ht="14.25" customHeight="1">
      <c r="A493" s="74"/>
      <c r="B493" s="38"/>
      <c r="C493" s="38"/>
      <c r="D493" s="38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38"/>
      <c r="AM493" s="38"/>
      <c r="AN493" s="75"/>
      <c r="AO493" s="75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  <c r="BP493" s="38"/>
      <c r="BQ493" s="38"/>
      <c r="BR493" s="38"/>
      <c r="BS493" s="38"/>
      <c r="BT493" s="38"/>
      <c r="BU493" s="38"/>
      <c r="BV493" s="38"/>
    </row>
    <row r="494" ht="14.25" customHeight="1">
      <c r="A494" s="74"/>
      <c r="B494" s="38"/>
      <c r="C494" s="38"/>
      <c r="D494" s="38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38"/>
      <c r="AM494" s="38"/>
      <c r="AN494" s="75"/>
      <c r="AO494" s="75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  <c r="BP494" s="38"/>
      <c r="BQ494" s="38"/>
      <c r="BR494" s="38"/>
      <c r="BS494" s="38"/>
      <c r="BT494" s="38"/>
      <c r="BU494" s="38"/>
      <c r="BV494" s="38"/>
    </row>
    <row r="495" ht="14.25" customHeight="1">
      <c r="A495" s="74"/>
      <c r="B495" s="38"/>
      <c r="C495" s="38"/>
      <c r="D495" s="38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38"/>
      <c r="AM495" s="38"/>
      <c r="AN495" s="75"/>
      <c r="AO495" s="75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  <c r="BP495" s="38"/>
      <c r="BQ495" s="38"/>
      <c r="BR495" s="38"/>
      <c r="BS495" s="38"/>
      <c r="BT495" s="38"/>
      <c r="BU495" s="38"/>
      <c r="BV495" s="38"/>
    </row>
    <row r="496" ht="14.25" customHeight="1">
      <c r="A496" s="74"/>
      <c r="B496" s="38"/>
      <c r="C496" s="38"/>
      <c r="D496" s="38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38"/>
      <c r="AM496" s="38"/>
      <c r="AN496" s="75"/>
      <c r="AO496" s="75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  <c r="BP496" s="38"/>
      <c r="BQ496" s="38"/>
      <c r="BR496" s="38"/>
      <c r="BS496" s="38"/>
      <c r="BT496" s="38"/>
      <c r="BU496" s="38"/>
      <c r="BV496" s="38"/>
    </row>
    <row r="497" ht="14.25" customHeight="1">
      <c r="A497" s="74"/>
      <c r="B497" s="38"/>
      <c r="C497" s="38"/>
      <c r="D497" s="38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38"/>
      <c r="AM497" s="38"/>
      <c r="AN497" s="75"/>
      <c r="AO497" s="75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  <c r="BP497" s="38"/>
      <c r="BQ497" s="38"/>
      <c r="BR497" s="38"/>
      <c r="BS497" s="38"/>
      <c r="BT497" s="38"/>
      <c r="BU497" s="38"/>
      <c r="BV497" s="38"/>
    </row>
    <row r="498" ht="14.25" customHeight="1">
      <c r="A498" s="74"/>
      <c r="B498" s="38"/>
      <c r="C498" s="38"/>
      <c r="D498" s="38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38"/>
      <c r="AM498" s="38"/>
      <c r="AN498" s="75"/>
      <c r="AO498" s="75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  <c r="BP498" s="38"/>
      <c r="BQ498" s="38"/>
      <c r="BR498" s="38"/>
      <c r="BS498" s="38"/>
      <c r="BT498" s="38"/>
      <c r="BU498" s="38"/>
      <c r="BV498" s="38"/>
    </row>
    <row r="499" ht="14.25" customHeight="1">
      <c r="A499" s="74"/>
      <c r="B499" s="38"/>
      <c r="C499" s="38"/>
      <c r="D499" s="38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38"/>
      <c r="AM499" s="38"/>
      <c r="AN499" s="75"/>
      <c r="AO499" s="75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  <c r="BP499" s="38"/>
      <c r="BQ499" s="38"/>
      <c r="BR499" s="38"/>
      <c r="BS499" s="38"/>
      <c r="BT499" s="38"/>
      <c r="BU499" s="38"/>
      <c r="BV499" s="38"/>
    </row>
    <row r="500" ht="14.25" customHeight="1">
      <c r="A500" s="74"/>
      <c r="B500" s="38"/>
      <c r="C500" s="38"/>
      <c r="D500" s="38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38"/>
      <c r="AM500" s="38"/>
      <c r="AN500" s="75"/>
      <c r="AO500" s="75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  <c r="BP500" s="38"/>
      <c r="BQ500" s="38"/>
      <c r="BR500" s="38"/>
      <c r="BS500" s="38"/>
      <c r="BT500" s="38"/>
      <c r="BU500" s="38"/>
      <c r="BV500" s="38"/>
    </row>
    <row r="501" ht="14.25" customHeight="1">
      <c r="A501" s="74"/>
      <c r="B501" s="38"/>
      <c r="C501" s="38"/>
      <c r="D501" s="38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38"/>
      <c r="AM501" s="38"/>
      <c r="AN501" s="75"/>
      <c r="AO501" s="75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  <c r="BP501" s="38"/>
      <c r="BQ501" s="38"/>
      <c r="BR501" s="38"/>
      <c r="BS501" s="38"/>
      <c r="BT501" s="38"/>
      <c r="BU501" s="38"/>
      <c r="BV501" s="38"/>
    </row>
    <row r="502" ht="14.25" customHeight="1">
      <c r="A502" s="74"/>
      <c r="B502" s="38"/>
      <c r="C502" s="38"/>
      <c r="D502" s="38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38"/>
      <c r="AM502" s="38"/>
      <c r="AN502" s="75"/>
      <c r="AO502" s="75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  <c r="BP502" s="38"/>
      <c r="BQ502" s="38"/>
      <c r="BR502" s="38"/>
      <c r="BS502" s="38"/>
      <c r="BT502" s="38"/>
      <c r="BU502" s="38"/>
      <c r="BV502" s="38"/>
    </row>
    <row r="503" ht="14.25" customHeight="1">
      <c r="A503" s="74"/>
      <c r="B503" s="38"/>
      <c r="C503" s="38"/>
      <c r="D503" s="38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38"/>
      <c r="AM503" s="38"/>
      <c r="AN503" s="75"/>
      <c r="AO503" s="75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  <c r="BP503" s="38"/>
      <c r="BQ503" s="38"/>
      <c r="BR503" s="38"/>
      <c r="BS503" s="38"/>
      <c r="BT503" s="38"/>
      <c r="BU503" s="38"/>
      <c r="BV503" s="38"/>
    </row>
    <row r="504" ht="14.25" customHeight="1">
      <c r="A504" s="74"/>
      <c r="B504" s="38"/>
      <c r="C504" s="38"/>
      <c r="D504" s="38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38"/>
      <c r="AM504" s="38"/>
      <c r="AN504" s="75"/>
      <c r="AO504" s="75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  <c r="BP504" s="38"/>
      <c r="BQ504" s="38"/>
      <c r="BR504" s="38"/>
      <c r="BS504" s="38"/>
      <c r="BT504" s="38"/>
      <c r="BU504" s="38"/>
      <c r="BV504" s="38"/>
    </row>
    <row r="505" ht="14.25" customHeight="1">
      <c r="A505" s="74"/>
      <c r="B505" s="38"/>
      <c r="C505" s="38"/>
      <c r="D505" s="38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38"/>
      <c r="AM505" s="38"/>
      <c r="AN505" s="75"/>
      <c r="AO505" s="75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  <c r="BP505" s="38"/>
      <c r="BQ505" s="38"/>
      <c r="BR505" s="38"/>
      <c r="BS505" s="38"/>
      <c r="BT505" s="38"/>
      <c r="BU505" s="38"/>
      <c r="BV505" s="38"/>
    </row>
    <row r="506" ht="14.25" customHeight="1">
      <c r="A506" s="74"/>
      <c r="B506" s="38"/>
      <c r="C506" s="38"/>
      <c r="D506" s="38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38"/>
      <c r="AM506" s="38"/>
      <c r="AN506" s="75"/>
      <c r="AO506" s="75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  <c r="BP506" s="38"/>
      <c r="BQ506" s="38"/>
      <c r="BR506" s="38"/>
      <c r="BS506" s="38"/>
      <c r="BT506" s="38"/>
      <c r="BU506" s="38"/>
      <c r="BV506" s="38"/>
    </row>
    <row r="507" ht="14.25" customHeight="1">
      <c r="A507" s="74"/>
      <c r="B507" s="38"/>
      <c r="C507" s="38"/>
      <c r="D507" s="38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38"/>
      <c r="AM507" s="38"/>
      <c r="AN507" s="75"/>
      <c r="AO507" s="75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  <c r="BP507" s="38"/>
      <c r="BQ507" s="38"/>
      <c r="BR507" s="38"/>
      <c r="BS507" s="38"/>
      <c r="BT507" s="38"/>
      <c r="BU507" s="38"/>
      <c r="BV507" s="38"/>
    </row>
    <row r="508" ht="14.25" customHeight="1">
      <c r="A508" s="74"/>
      <c r="B508" s="38"/>
      <c r="C508" s="38"/>
      <c r="D508" s="38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38"/>
      <c r="AM508" s="38"/>
      <c r="AN508" s="75"/>
      <c r="AO508" s="75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  <c r="BP508" s="38"/>
      <c r="BQ508" s="38"/>
      <c r="BR508" s="38"/>
      <c r="BS508" s="38"/>
      <c r="BT508" s="38"/>
      <c r="BU508" s="38"/>
      <c r="BV508" s="38"/>
    </row>
    <row r="509" ht="14.25" customHeight="1">
      <c r="A509" s="74"/>
      <c r="B509" s="38"/>
      <c r="C509" s="38"/>
      <c r="D509" s="38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38"/>
      <c r="AM509" s="38"/>
      <c r="AN509" s="75"/>
      <c r="AO509" s="75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  <c r="BP509" s="38"/>
      <c r="BQ509" s="38"/>
      <c r="BR509" s="38"/>
      <c r="BS509" s="38"/>
      <c r="BT509" s="38"/>
      <c r="BU509" s="38"/>
      <c r="BV509" s="38"/>
    </row>
    <row r="510" ht="14.25" customHeight="1">
      <c r="A510" s="74"/>
      <c r="B510" s="38"/>
      <c r="C510" s="38"/>
      <c r="D510" s="38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38"/>
      <c r="AM510" s="38"/>
      <c r="AN510" s="75"/>
      <c r="AO510" s="75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  <c r="BP510" s="38"/>
      <c r="BQ510" s="38"/>
      <c r="BR510" s="38"/>
      <c r="BS510" s="38"/>
      <c r="BT510" s="38"/>
      <c r="BU510" s="38"/>
      <c r="BV510" s="38"/>
    </row>
    <row r="511" ht="14.25" customHeight="1">
      <c r="A511" s="74"/>
      <c r="B511" s="38"/>
      <c r="C511" s="38"/>
      <c r="D511" s="38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38"/>
      <c r="AM511" s="38"/>
      <c r="AN511" s="75"/>
      <c r="AO511" s="75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  <c r="BP511" s="38"/>
      <c r="BQ511" s="38"/>
      <c r="BR511" s="38"/>
      <c r="BS511" s="38"/>
      <c r="BT511" s="38"/>
      <c r="BU511" s="38"/>
      <c r="BV511" s="38"/>
    </row>
    <row r="512" ht="14.25" customHeight="1">
      <c r="A512" s="74"/>
      <c r="B512" s="38"/>
      <c r="C512" s="38"/>
      <c r="D512" s="38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38"/>
      <c r="AM512" s="38"/>
      <c r="AN512" s="75"/>
      <c r="AO512" s="75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  <c r="BP512" s="38"/>
      <c r="BQ512" s="38"/>
      <c r="BR512" s="38"/>
      <c r="BS512" s="38"/>
      <c r="BT512" s="38"/>
      <c r="BU512" s="38"/>
      <c r="BV512" s="38"/>
    </row>
    <row r="513" ht="14.25" customHeight="1">
      <c r="A513" s="74"/>
      <c r="B513" s="38"/>
      <c r="C513" s="38"/>
      <c r="D513" s="38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38"/>
      <c r="AM513" s="38"/>
      <c r="AN513" s="75"/>
      <c r="AO513" s="75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  <c r="BP513" s="38"/>
      <c r="BQ513" s="38"/>
      <c r="BR513" s="38"/>
      <c r="BS513" s="38"/>
      <c r="BT513" s="38"/>
      <c r="BU513" s="38"/>
      <c r="BV513" s="38"/>
    </row>
    <row r="514" ht="14.25" customHeight="1">
      <c r="A514" s="74"/>
      <c r="B514" s="38"/>
      <c r="C514" s="38"/>
      <c r="D514" s="38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38"/>
      <c r="AM514" s="38"/>
      <c r="AN514" s="75"/>
      <c r="AO514" s="75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  <c r="BP514" s="38"/>
      <c r="BQ514" s="38"/>
      <c r="BR514" s="38"/>
      <c r="BS514" s="38"/>
      <c r="BT514" s="38"/>
      <c r="BU514" s="38"/>
      <c r="BV514" s="38"/>
    </row>
    <row r="515" ht="14.25" customHeight="1">
      <c r="A515" s="74"/>
      <c r="B515" s="38"/>
      <c r="C515" s="38"/>
      <c r="D515" s="38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38"/>
      <c r="AM515" s="38"/>
      <c r="AN515" s="75"/>
      <c r="AO515" s="75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  <c r="BP515" s="38"/>
      <c r="BQ515" s="38"/>
      <c r="BR515" s="38"/>
      <c r="BS515" s="38"/>
      <c r="BT515" s="38"/>
      <c r="BU515" s="38"/>
      <c r="BV515" s="38"/>
    </row>
    <row r="516" ht="14.25" customHeight="1">
      <c r="A516" s="74"/>
      <c r="B516" s="38"/>
      <c r="C516" s="38"/>
      <c r="D516" s="38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38"/>
      <c r="AM516" s="38"/>
      <c r="AN516" s="75"/>
      <c r="AO516" s="75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  <c r="BP516" s="38"/>
      <c r="BQ516" s="38"/>
      <c r="BR516" s="38"/>
      <c r="BS516" s="38"/>
      <c r="BT516" s="38"/>
      <c r="BU516" s="38"/>
      <c r="BV516" s="38"/>
    </row>
    <row r="517" ht="14.25" customHeight="1">
      <c r="A517" s="74"/>
      <c r="B517" s="38"/>
      <c r="C517" s="38"/>
      <c r="D517" s="38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38"/>
      <c r="AM517" s="38"/>
      <c r="AN517" s="75"/>
      <c r="AO517" s="75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  <c r="BP517" s="38"/>
      <c r="BQ517" s="38"/>
      <c r="BR517" s="38"/>
      <c r="BS517" s="38"/>
      <c r="BT517" s="38"/>
      <c r="BU517" s="38"/>
      <c r="BV517" s="38"/>
    </row>
    <row r="518" ht="14.25" customHeight="1">
      <c r="A518" s="74"/>
      <c r="B518" s="38"/>
      <c r="C518" s="38"/>
      <c r="D518" s="38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38"/>
      <c r="AM518" s="38"/>
      <c r="AN518" s="75"/>
      <c r="AO518" s="75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  <c r="BP518" s="38"/>
      <c r="BQ518" s="38"/>
      <c r="BR518" s="38"/>
      <c r="BS518" s="38"/>
      <c r="BT518" s="38"/>
      <c r="BU518" s="38"/>
      <c r="BV518" s="38"/>
    </row>
    <row r="519" ht="14.25" customHeight="1">
      <c r="A519" s="74"/>
      <c r="B519" s="38"/>
      <c r="C519" s="38"/>
      <c r="D519" s="38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38"/>
      <c r="AM519" s="38"/>
      <c r="AN519" s="75"/>
      <c r="AO519" s="75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  <c r="BP519" s="38"/>
      <c r="BQ519" s="38"/>
      <c r="BR519" s="38"/>
      <c r="BS519" s="38"/>
      <c r="BT519" s="38"/>
      <c r="BU519" s="38"/>
      <c r="BV519" s="38"/>
    </row>
    <row r="520" ht="14.25" customHeight="1">
      <c r="A520" s="74"/>
      <c r="B520" s="38"/>
      <c r="C520" s="38"/>
      <c r="D520" s="38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38"/>
      <c r="AM520" s="38"/>
      <c r="AN520" s="75"/>
      <c r="AO520" s="75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  <c r="BP520" s="38"/>
      <c r="BQ520" s="38"/>
      <c r="BR520" s="38"/>
      <c r="BS520" s="38"/>
      <c r="BT520" s="38"/>
      <c r="BU520" s="38"/>
      <c r="BV520" s="38"/>
    </row>
    <row r="521" ht="14.25" customHeight="1">
      <c r="A521" s="74"/>
      <c r="B521" s="38"/>
      <c r="C521" s="38"/>
      <c r="D521" s="38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38"/>
      <c r="AM521" s="38"/>
      <c r="AN521" s="75"/>
      <c r="AO521" s="75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  <c r="BP521" s="38"/>
      <c r="BQ521" s="38"/>
      <c r="BR521" s="38"/>
      <c r="BS521" s="38"/>
      <c r="BT521" s="38"/>
      <c r="BU521" s="38"/>
      <c r="BV521" s="38"/>
    </row>
    <row r="522" ht="14.25" customHeight="1">
      <c r="A522" s="74"/>
      <c r="B522" s="38"/>
      <c r="C522" s="38"/>
      <c r="D522" s="38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38"/>
      <c r="AM522" s="38"/>
      <c r="AN522" s="75"/>
      <c r="AO522" s="75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  <c r="BP522" s="38"/>
      <c r="BQ522" s="38"/>
      <c r="BR522" s="38"/>
      <c r="BS522" s="38"/>
      <c r="BT522" s="38"/>
      <c r="BU522" s="38"/>
      <c r="BV522" s="38"/>
    </row>
    <row r="523" ht="14.25" customHeight="1">
      <c r="A523" s="74"/>
      <c r="B523" s="38"/>
      <c r="C523" s="38"/>
      <c r="D523" s="38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38"/>
      <c r="AM523" s="38"/>
      <c r="AN523" s="75"/>
      <c r="AO523" s="75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  <c r="BP523" s="38"/>
      <c r="BQ523" s="38"/>
      <c r="BR523" s="38"/>
      <c r="BS523" s="38"/>
      <c r="BT523" s="38"/>
      <c r="BU523" s="38"/>
      <c r="BV523" s="38"/>
    </row>
    <row r="524" ht="14.25" customHeight="1">
      <c r="A524" s="74"/>
      <c r="B524" s="38"/>
      <c r="C524" s="38"/>
      <c r="D524" s="38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38"/>
      <c r="AM524" s="38"/>
      <c r="AN524" s="75"/>
      <c r="AO524" s="75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  <c r="BP524" s="38"/>
      <c r="BQ524" s="38"/>
      <c r="BR524" s="38"/>
      <c r="BS524" s="38"/>
      <c r="BT524" s="38"/>
      <c r="BU524" s="38"/>
      <c r="BV524" s="38"/>
    </row>
    <row r="525" ht="14.25" customHeight="1">
      <c r="A525" s="74"/>
      <c r="B525" s="38"/>
      <c r="C525" s="38"/>
      <c r="D525" s="38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38"/>
      <c r="AM525" s="38"/>
      <c r="AN525" s="75"/>
      <c r="AO525" s="75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  <c r="BP525" s="38"/>
      <c r="BQ525" s="38"/>
      <c r="BR525" s="38"/>
      <c r="BS525" s="38"/>
      <c r="BT525" s="38"/>
      <c r="BU525" s="38"/>
      <c r="BV525" s="38"/>
    </row>
    <row r="526" ht="14.25" customHeight="1">
      <c r="A526" s="74"/>
      <c r="B526" s="38"/>
      <c r="C526" s="38"/>
      <c r="D526" s="38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38"/>
      <c r="AM526" s="38"/>
      <c r="AN526" s="75"/>
      <c r="AO526" s="75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  <c r="BP526" s="38"/>
      <c r="BQ526" s="38"/>
      <c r="BR526" s="38"/>
      <c r="BS526" s="38"/>
      <c r="BT526" s="38"/>
      <c r="BU526" s="38"/>
      <c r="BV526" s="38"/>
    </row>
    <row r="527" ht="14.25" customHeight="1">
      <c r="A527" s="74"/>
      <c r="B527" s="38"/>
      <c r="C527" s="38"/>
      <c r="D527" s="38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38"/>
      <c r="AM527" s="38"/>
      <c r="AN527" s="75"/>
      <c r="AO527" s="75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  <c r="BP527" s="38"/>
      <c r="BQ527" s="38"/>
      <c r="BR527" s="38"/>
      <c r="BS527" s="38"/>
      <c r="BT527" s="38"/>
      <c r="BU527" s="38"/>
      <c r="BV527" s="38"/>
    </row>
    <row r="528" ht="14.25" customHeight="1">
      <c r="A528" s="74"/>
      <c r="B528" s="38"/>
      <c r="C528" s="38"/>
      <c r="D528" s="38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38"/>
      <c r="AM528" s="38"/>
      <c r="AN528" s="75"/>
      <c r="AO528" s="75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  <c r="BP528" s="38"/>
      <c r="BQ528" s="38"/>
      <c r="BR528" s="38"/>
      <c r="BS528" s="38"/>
      <c r="BT528" s="38"/>
      <c r="BU528" s="38"/>
      <c r="BV528" s="38"/>
    </row>
    <row r="529" ht="14.25" customHeight="1">
      <c r="A529" s="74"/>
      <c r="B529" s="38"/>
      <c r="C529" s="38"/>
      <c r="D529" s="38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38"/>
      <c r="AM529" s="38"/>
      <c r="AN529" s="75"/>
      <c r="AO529" s="75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  <c r="BQ529" s="38"/>
      <c r="BR529" s="38"/>
      <c r="BS529" s="38"/>
      <c r="BT529" s="38"/>
      <c r="BU529" s="38"/>
      <c r="BV529" s="38"/>
    </row>
    <row r="530" ht="14.25" customHeight="1">
      <c r="A530" s="74"/>
      <c r="B530" s="38"/>
      <c r="C530" s="38"/>
      <c r="D530" s="38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38"/>
      <c r="AM530" s="38"/>
      <c r="AN530" s="75"/>
      <c r="AO530" s="75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  <c r="BP530" s="38"/>
      <c r="BQ530" s="38"/>
      <c r="BR530" s="38"/>
      <c r="BS530" s="38"/>
      <c r="BT530" s="38"/>
      <c r="BU530" s="38"/>
      <c r="BV530" s="38"/>
    </row>
    <row r="531" ht="14.25" customHeight="1">
      <c r="A531" s="74"/>
      <c r="B531" s="38"/>
      <c r="C531" s="38"/>
      <c r="D531" s="38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38"/>
      <c r="AM531" s="38"/>
      <c r="AN531" s="75"/>
      <c r="AO531" s="75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  <c r="BP531" s="38"/>
      <c r="BQ531" s="38"/>
      <c r="BR531" s="38"/>
      <c r="BS531" s="38"/>
      <c r="BT531" s="38"/>
      <c r="BU531" s="38"/>
      <c r="BV531" s="38"/>
    </row>
    <row r="532" ht="14.25" customHeight="1">
      <c r="A532" s="74"/>
      <c r="B532" s="38"/>
      <c r="C532" s="38"/>
      <c r="D532" s="38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38"/>
      <c r="AM532" s="38"/>
      <c r="AN532" s="75"/>
      <c r="AO532" s="75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  <c r="BP532" s="38"/>
      <c r="BQ532" s="38"/>
      <c r="BR532" s="38"/>
      <c r="BS532" s="38"/>
      <c r="BT532" s="38"/>
      <c r="BU532" s="38"/>
      <c r="BV532" s="38"/>
    </row>
    <row r="533" ht="14.25" customHeight="1">
      <c r="A533" s="74"/>
      <c r="B533" s="38"/>
      <c r="C533" s="38"/>
      <c r="D533" s="38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38"/>
      <c r="AM533" s="38"/>
      <c r="AN533" s="75"/>
      <c r="AO533" s="75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  <c r="BP533" s="38"/>
      <c r="BQ533" s="38"/>
      <c r="BR533" s="38"/>
      <c r="BS533" s="38"/>
      <c r="BT533" s="38"/>
      <c r="BU533" s="38"/>
      <c r="BV533" s="38"/>
    </row>
    <row r="534" ht="14.25" customHeight="1">
      <c r="A534" s="74"/>
      <c r="B534" s="38"/>
      <c r="C534" s="38"/>
      <c r="D534" s="38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38"/>
      <c r="AM534" s="38"/>
      <c r="AN534" s="75"/>
      <c r="AO534" s="75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  <c r="BP534" s="38"/>
      <c r="BQ534" s="38"/>
      <c r="BR534" s="38"/>
      <c r="BS534" s="38"/>
      <c r="BT534" s="38"/>
      <c r="BU534" s="38"/>
      <c r="BV534" s="38"/>
    </row>
    <row r="535" ht="14.25" customHeight="1">
      <c r="A535" s="74"/>
      <c r="B535" s="38"/>
      <c r="C535" s="38"/>
      <c r="D535" s="38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38"/>
      <c r="AM535" s="38"/>
      <c r="AN535" s="75"/>
      <c r="AO535" s="75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  <c r="BP535" s="38"/>
      <c r="BQ535" s="38"/>
      <c r="BR535" s="38"/>
      <c r="BS535" s="38"/>
      <c r="BT535" s="38"/>
      <c r="BU535" s="38"/>
      <c r="BV535" s="38"/>
    </row>
    <row r="536" ht="14.25" customHeight="1">
      <c r="A536" s="74"/>
      <c r="B536" s="38"/>
      <c r="C536" s="38"/>
      <c r="D536" s="38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38"/>
      <c r="AM536" s="38"/>
      <c r="AN536" s="75"/>
      <c r="AO536" s="75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  <c r="BP536" s="38"/>
      <c r="BQ536" s="38"/>
      <c r="BR536" s="38"/>
      <c r="BS536" s="38"/>
      <c r="BT536" s="38"/>
      <c r="BU536" s="38"/>
      <c r="BV536" s="38"/>
    </row>
    <row r="537" ht="14.25" customHeight="1">
      <c r="A537" s="74"/>
      <c r="B537" s="38"/>
      <c r="C537" s="38"/>
      <c r="D537" s="38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38"/>
      <c r="AM537" s="38"/>
      <c r="AN537" s="75"/>
      <c r="AO537" s="75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  <c r="BP537" s="38"/>
      <c r="BQ537" s="38"/>
      <c r="BR537" s="38"/>
      <c r="BS537" s="38"/>
      <c r="BT537" s="38"/>
      <c r="BU537" s="38"/>
      <c r="BV537" s="38"/>
    </row>
    <row r="538" ht="14.25" customHeight="1">
      <c r="A538" s="74"/>
      <c r="B538" s="38"/>
      <c r="C538" s="38"/>
      <c r="D538" s="38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38"/>
      <c r="AM538" s="38"/>
      <c r="AN538" s="75"/>
      <c r="AO538" s="75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  <c r="BP538" s="38"/>
      <c r="BQ538" s="38"/>
      <c r="BR538" s="38"/>
      <c r="BS538" s="38"/>
      <c r="BT538" s="38"/>
      <c r="BU538" s="38"/>
      <c r="BV538" s="38"/>
    </row>
    <row r="539" ht="14.25" customHeight="1">
      <c r="A539" s="74"/>
      <c r="B539" s="38"/>
      <c r="C539" s="38"/>
      <c r="D539" s="38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38"/>
      <c r="AM539" s="38"/>
      <c r="AN539" s="75"/>
      <c r="AO539" s="75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  <c r="BP539" s="38"/>
      <c r="BQ539" s="38"/>
      <c r="BR539" s="38"/>
      <c r="BS539" s="38"/>
      <c r="BT539" s="38"/>
      <c r="BU539" s="38"/>
      <c r="BV539" s="38"/>
    </row>
    <row r="540" ht="14.25" customHeight="1">
      <c r="A540" s="74"/>
      <c r="B540" s="38"/>
      <c r="C540" s="38"/>
      <c r="D540" s="38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38"/>
      <c r="AM540" s="38"/>
      <c r="AN540" s="75"/>
      <c r="AO540" s="75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  <c r="BP540" s="38"/>
      <c r="BQ540" s="38"/>
      <c r="BR540" s="38"/>
      <c r="BS540" s="38"/>
      <c r="BT540" s="38"/>
      <c r="BU540" s="38"/>
      <c r="BV540" s="38"/>
    </row>
    <row r="541" ht="14.25" customHeight="1">
      <c r="A541" s="74"/>
      <c r="B541" s="38"/>
      <c r="C541" s="38"/>
      <c r="D541" s="38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38"/>
      <c r="AM541" s="38"/>
      <c r="AN541" s="75"/>
      <c r="AO541" s="75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  <c r="BP541" s="38"/>
      <c r="BQ541" s="38"/>
      <c r="BR541" s="38"/>
      <c r="BS541" s="38"/>
      <c r="BT541" s="38"/>
      <c r="BU541" s="38"/>
      <c r="BV541" s="38"/>
    </row>
    <row r="542" ht="14.25" customHeight="1">
      <c r="A542" s="74"/>
      <c r="B542" s="38"/>
      <c r="C542" s="38"/>
      <c r="D542" s="38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38"/>
      <c r="AM542" s="38"/>
      <c r="AN542" s="75"/>
      <c r="AO542" s="75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  <c r="BP542" s="38"/>
      <c r="BQ542" s="38"/>
      <c r="BR542" s="38"/>
      <c r="BS542" s="38"/>
      <c r="BT542" s="38"/>
      <c r="BU542" s="38"/>
      <c r="BV542" s="38"/>
    </row>
    <row r="543" ht="14.25" customHeight="1">
      <c r="A543" s="74"/>
      <c r="B543" s="38"/>
      <c r="C543" s="38"/>
      <c r="D543" s="38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38"/>
      <c r="AM543" s="38"/>
      <c r="AN543" s="75"/>
      <c r="AO543" s="75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  <c r="BP543" s="38"/>
      <c r="BQ543" s="38"/>
      <c r="BR543" s="38"/>
      <c r="BS543" s="38"/>
      <c r="BT543" s="38"/>
      <c r="BU543" s="38"/>
      <c r="BV543" s="38"/>
    </row>
    <row r="544" ht="14.25" customHeight="1">
      <c r="A544" s="74"/>
      <c r="B544" s="38"/>
      <c r="C544" s="38"/>
      <c r="D544" s="38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38"/>
      <c r="AM544" s="38"/>
      <c r="AN544" s="75"/>
      <c r="AO544" s="75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  <c r="BP544" s="38"/>
      <c r="BQ544" s="38"/>
      <c r="BR544" s="38"/>
      <c r="BS544" s="38"/>
      <c r="BT544" s="38"/>
      <c r="BU544" s="38"/>
      <c r="BV544" s="38"/>
    </row>
    <row r="545" ht="14.25" customHeight="1">
      <c r="A545" s="74"/>
      <c r="B545" s="38"/>
      <c r="C545" s="38"/>
      <c r="D545" s="38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38"/>
      <c r="AM545" s="38"/>
      <c r="AN545" s="75"/>
      <c r="AO545" s="75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  <c r="BP545" s="38"/>
      <c r="BQ545" s="38"/>
      <c r="BR545" s="38"/>
      <c r="BS545" s="38"/>
      <c r="BT545" s="38"/>
      <c r="BU545" s="38"/>
      <c r="BV545" s="38"/>
    </row>
    <row r="546" ht="14.25" customHeight="1">
      <c r="A546" s="74"/>
      <c r="B546" s="38"/>
      <c r="C546" s="38"/>
      <c r="D546" s="38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38"/>
      <c r="AM546" s="38"/>
      <c r="AN546" s="75"/>
      <c r="AO546" s="75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  <c r="BP546" s="38"/>
      <c r="BQ546" s="38"/>
      <c r="BR546" s="38"/>
      <c r="BS546" s="38"/>
      <c r="BT546" s="38"/>
      <c r="BU546" s="38"/>
      <c r="BV546" s="38"/>
    </row>
    <row r="547" ht="14.25" customHeight="1">
      <c r="A547" s="74"/>
      <c r="B547" s="38"/>
      <c r="C547" s="38"/>
      <c r="D547" s="38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38"/>
      <c r="AM547" s="38"/>
      <c r="AN547" s="75"/>
      <c r="AO547" s="75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  <c r="BP547" s="38"/>
      <c r="BQ547" s="38"/>
      <c r="BR547" s="38"/>
      <c r="BS547" s="38"/>
      <c r="BT547" s="38"/>
      <c r="BU547" s="38"/>
      <c r="BV547" s="38"/>
    </row>
    <row r="548" ht="14.25" customHeight="1">
      <c r="A548" s="74"/>
      <c r="B548" s="38"/>
      <c r="C548" s="38"/>
      <c r="D548" s="38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38"/>
      <c r="AM548" s="38"/>
      <c r="AN548" s="75"/>
      <c r="AO548" s="75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  <c r="BP548" s="38"/>
      <c r="BQ548" s="38"/>
      <c r="BR548" s="38"/>
      <c r="BS548" s="38"/>
      <c r="BT548" s="38"/>
      <c r="BU548" s="38"/>
      <c r="BV548" s="38"/>
    </row>
    <row r="549" ht="14.25" customHeight="1">
      <c r="A549" s="74"/>
      <c r="B549" s="38"/>
      <c r="C549" s="38"/>
      <c r="D549" s="38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38"/>
      <c r="AM549" s="38"/>
      <c r="AN549" s="75"/>
      <c r="AO549" s="75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  <c r="BP549" s="38"/>
      <c r="BQ549" s="38"/>
      <c r="BR549" s="38"/>
      <c r="BS549" s="38"/>
      <c r="BT549" s="38"/>
      <c r="BU549" s="38"/>
      <c r="BV549" s="38"/>
    </row>
    <row r="550" ht="14.25" customHeight="1">
      <c r="A550" s="74"/>
      <c r="B550" s="38"/>
      <c r="C550" s="38"/>
      <c r="D550" s="38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38"/>
      <c r="AM550" s="38"/>
      <c r="AN550" s="75"/>
      <c r="AO550" s="75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  <c r="BP550" s="38"/>
      <c r="BQ550" s="38"/>
      <c r="BR550" s="38"/>
      <c r="BS550" s="38"/>
      <c r="BT550" s="38"/>
      <c r="BU550" s="38"/>
      <c r="BV550" s="38"/>
    </row>
    <row r="551" ht="14.25" customHeight="1">
      <c r="A551" s="74"/>
      <c r="B551" s="38"/>
      <c r="C551" s="38"/>
      <c r="D551" s="38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38"/>
      <c r="AM551" s="38"/>
      <c r="AN551" s="75"/>
      <c r="AO551" s="75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  <c r="BP551" s="38"/>
      <c r="BQ551" s="38"/>
      <c r="BR551" s="38"/>
      <c r="BS551" s="38"/>
      <c r="BT551" s="38"/>
      <c r="BU551" s="38"/>
      <c r="BV551" s="38"/>
    </row>
    <row r="552" ht="14.25" customHeight="1">
      <c r="A552" s="74"/>
      <c r="B552" s="38"/>
      <c r="C552" s="38"/>
      <c r="D552" s="38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38"/>
      <c r="AM552" s="38"/>
      <c r="AN552" s="75"/>
      <c r="AO552" s="75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  <c r="BP552" s="38"/>
      <c r="BQ552" s="38"/>
      <c r="BR552" s="38"/>
      <c r="BS552" s="38"/>
      <c r="BT552" s="38"/>
      <c r="BU552" s="38"/>
      <c r="BV552" s="38"/>
    </row>
    <row r="553" ht="14.25" customHeight="1">
      <c r="A553" s="74"/>
      <c r="B553" s="38"/>
      <c r="C553" s="38"/>
      <c r="D553" s="38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38"/>
      <c r="AM553" s="38"/>
      <c r="AN553" s="75"/>
      <c r="AO553" s="75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  <c r="BP553" s="38"/>
      <c r="BQ553" s="38"/>
      <c r="BR553" s="38"/>
      <c r="BS553" s="38"/>
      <c r="BT553" s="38"/>
      <c r="BU553" s="38"/>
      <c r="BV553" s="38"/>
    </row>
    <row r="554" ht="14.25" customHeight="1">
      <c r="A554" s="74"/>
      <c r="B554" s="38"/>
      <c r="C554" s="38"/>
      <c r="D554" s="38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38"/>
      <c r="AM554" s="38"/>
      <c r="AN554" s="75"/>
      <c r="AO554" s="75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  <c r="BP554" s="38"/>
      <c r="BQ554" s="38"/>
      <c r="BR554" s="38"/>
      <c r="BS554" s="38"/>
      <c r="BT554" s="38"/>
      <c r="BU554" s="38"/>
      <c r="BV554" s="38"/>
    </row>
    <row r="555" ht="14.25" customHeight="1">
      <c r="A555" s="74"/>
      <c r="B555" s="38"/>
      <c r="C555" s="38"/>
      <c r="D555" s="38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38"/>
      <c r="AM555" s="38"/>
      <c r="AN555" s="75"/>
      <c r="AO555" s="75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  <c r="BP555" s="38"/>
      <c r="BQ555" s="38"/>
      <c r="BR555" s="38"/>
      <c r="BS555" s="38"/>
      <c r="BT555" s="38"/>
      <c r="BU555" s="38"/>
      <c r="BV555" s="38"/>
    </row>
    <row r="556" ht="14.25" customHeight="1">
      <c r="A556" s="74"/>
      <c r="B556" s="38"/>
      <c r="C556" s="38"/>
      <c r="D556" s="38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38"/>
      <c r="AM556" s="38"/>
      <c r="AN556" s="75"/>
      <c r="AO556" s="75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  <c r="BP556" s="38"/>
      <c r="BQ556" s="38"/>
      <c r="BR556" s="38"/>
      <c r="BS556" s="38"/>
      <c r="BT556" s="38"/>
      <c r="BU556" s="38"/>
      <c r="BV556" s="38"/>
    </row>
    <row r="557" ht="14.25" customHeight="1">
      <c r="A557" s="74"/>
      <c r="B557" s="38"/>
      <c r="C557" s="38"/>
      <c r="D557" s="38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38"/>
      <c r="AM557" s="38"/>
      <c r="AN557" s="75"/>
      <c r="AO557" s="75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  <c r="BP557" s="38"/>
      <c r="BQ557" s="38"/>
      <c r="BR557" s="38"/>
      <c r="BS557" s="38"/>
      <c r="BT557" s="38"/>
      <c r="BU557" s="38"/>
      <c r="BV557" s="38"/>
    </row>
    <row r="558" ht="14.25" customHeight="1">
      <c r="A558" s="74"/>
      <c r="B558" s="38"/>
      <c r="C558" s="38"/>
      <c r="D558" s="38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38"/>
      <c r="AM558" s="38"/>
      <c r="AN558" s="75"/>
      <c r="AO558" s="75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  <c r="BP558" s="38"/>
      <c r="BQ558" s="38"/>
      <c r="BR558" s="38"/>
      <c r="BS558" s="38"/>
      <c r="BT558" s="38"/>
      <c r="BU558" s="38"/>
      <c r="BV558" s="38"/>
    </row>
    <row r="559" ht="14.25" customHeight="1">
      <c r="A559" s="74"/>
      <c r="B559" s="38"/>
      <c r="C559" s="38"/>
      <c r="D559" s="38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38"/>
      <c r="AM559" s="38"/>
      <c r="AN559" s="75"/>
      <c r="AO559" s="75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  <c r="BP559" s="38"/>
      <c r="BQ559" s="38"/>
      <c r="BR559" s="38"/>
      <c r="BS559" s="38"/>
      <c r="BT559" s="38"/>
      <c r="BU559" s="38"/>
      <c r="BV559" s="38"/>
    </row>
    <row r="560" ht="14.25" customHeight="1">
      <c r="A560" s="74"/>
      <c r="B560" s="38"/>
      <c r="C560" s="38"/>
      <c r="D560" s="38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38"/>
      <c r="AM560" s="38"/>
      <c r="AN560" s="75"/>
      <c r="AO560" s="75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  <c r="BP560" s="38"/>
      <c r="BQ560" s="38"/>
      <c r="BR560" s="38"/>
      <c r="BS560" s="38"/>
      <c r="BT560" s="38"/>
      <c r="BU560" s="38"/>
      <c r="BV560" s="38"/>
    </row>
    <row r="561" ht="14.25" customHeight="1">
      <c r="A561" s="74"/>
      <c r="B561" s="38"/>
      <c r="C561" s="38"/>
      <c r="D561" s="38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38"/>
      <c r="AM561" s="38"/>
      <c r="AN561" s="75"/>
      <c r="AO561" s="75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  <c r="BP561" s="38"/>
      <c r="BQ561" s="38"/>
      <c r="BR561" s="38"/>
      <c r="BS561" s="38"/>
      <c r="BT561" s="38"/>
      <c r="BU561" s="38"/>
      <c r="BV561" s="38"/>
    </row>
    <row r="562" ht="14.25" customHeight="1">
      <c r="A562" s="74"/>
      <c r="B562" s="38"/>
      <c r="C562" s="38"/>
      <c r="D562" s="38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38"/>
      <c r="AM562" s="38"/>
      <c r="AN562" s="75"/>
      <c r="AO562" s="75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  <c r="BP562" s="38"/>
      <c r="BQ562" s="38"/>
      <c r="BR562" s="38"/>
      <c r="BS562" s="38"/>
      <c r="BT562" s="38"/>
      <c r="BU562" s="38"/>
      <c r="BV562" s="38"/>
    </row>
    <row r="563" ht="14.25" customHeight="1">
      <c r="A563" s="74"/>
      <c r="B563" s="38"/>
      <c r="C563" s="38"/>
      <c r="D563" s="38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38"/>
      <c r="AM563" s="38"/>
      <c r="AN563" s="75"/>
      <c r="AO563" s="75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  <c r="BP563" s="38"/>
      <c r="BQ563" s="38"/>
      <c r="BR563" s="38"/>
      <c r="BS563" s="38"/>
      <c r="BT563" s="38"/>
      <c r="BU563" s="38"/>
      <c r="BV563" s="38"/>
    </row>
    <row r="564" ht="14.25" customHeight="1">
      <c r="A564" s="74"/>
      <c r="B564" s="38"/>
      <c r="C564" s="38"/>
      <c r="D564" s="38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38"/>
      <c r="AM564" s="38"/>
      <c r="AN564" s="75"/>
      <c r="AO564" s="75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  <c r="BP564" s="38"/>
      <c r="BQ564" s="38"/>
      <c r="BR564" s="38"/>
      <c r="BS564" s="38"/>
      <c r="BT564" s="38"/>
      <c r="BU564" s="38"/>
      <c r="BV564" s="38"/>
    </row>
    <row r="565" ht="14.25" customHeight="1">
      <c r="A565" s="74"/>
      <c r="B565" s="38"/>
      <c r="C565" s="38"/>
      <c r="D565" s="38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38"/>
      <c r="AM565" s="38"/>
      <c r="AN565" s="75"/>
      <c r="AO565" s="75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  <c r="BP565" s="38"/>
      <c r="BQ565" s="38"/>
      <c r="BR565" s="38"/>
      <c r="BS565" s="38"/>
      <c r="BT565" s="38"/>
      <c r="BU565" s="38"/>
      <c r="BV565" s="38"/>
    </row>
    <row r="566" ht="14.25" customHeight="1">
      <c r="A566" s="74"/>
      <c r="B566" s="38"/>
      <c r="C566" s="38"/>
      <c r="D566" s="38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38"/>
      <c r="AM566" s="38"/>
      <c r="AN566" s="75"/>
      <c r="AO566" s="75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  <c r="BP566" s="38"/>
      <c r="BQ566" s="38"/>
      <c r="BR566" s="38"/>
      <c r="BS566" s="38"/>
      <c r="BT566" s="38"/>
      <c r="BU566" s="38"/>
      <c r="BV566" s="38"/>
    </row>
    <row r="567" ht="14.25" customHeight="1">
      <c r="A567" s="74"/>
      <c r="B567" s="38"/>
      <c r="C567" s="38"/>
      <c r="D567" s="38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38"/>
      <c r="AM567" s="38"/>
      <c r="AN567" s="75"/>
      <c r="AO567" s="75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  <c r="BP567" s="38"/>
      <c r="BQ567" s="38"/>
      <c r="BR567" s="38"/>
      <c r="BS567" s="38"/>
      <c r="BT567" s="38"/>
      <c r="BU567" s="38"/>
      <c r="BV567" s="38"/>
    </row>
    <row r="568" ht="14.25" customHeight="1">
      <c r="A568" s="74"/>
      <c r="B568" s="38"/>
      <c r="C568" s="38"/>
      <c r="D568" s="38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38"/>
      <c r="AM568" s="38"/>
      <c r="AN568" s="75"/>
      <c r="AO568" s="75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  <c r="BP568" s="38"/>
      <c r="BQ568" s="38"/>
      <c r="BR568" s="38"/>
      <c r="BS568" s="38"/>
      <c r="BT568" s="38"/>
      <c r="BU568" s="38"/>
      <c r="BV568" s="38"/>
    </row>
    <row r="569" ht="14.25" customHeight="1">
      <c r="A569" s="74"/>
      <c r="B569" s="38"/>
      <c r="C569" s="38"/>
      <c r="D569" s="38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38"/>
      <c r="AM569" s="38"/>
      <c r="AN569" s="75"/>
      <c r="AO569" s="75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  <c r="BP569" s="38"/>
      <c r="BQ569" s="38"/>
      <c r="BR569" s="38"/>
      <c r="BS569" s="38"/>
      <c r="BT569" s="38"/>
      <c r="BU569" s="38"/>
      <c r="BV569" s="38"/>
    </row>
    <row r="570" ht="14.25" customHeight="1">
      <c r="A570" s="74"/>
      <c r="B570" s="38"/>
      <c r="C570" s="38"/>
      <c r="D570" s="38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38"/>
      <c r="AM570" s="38"/>
      <c r="AN570" s="75"/>
      <c r="AO570" s="75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  <c r="BP570" s="38"/>
      <c r="BQ570" s="38"/>
      <c r="BR570" s="38"/>
      <c r="BS570" s="38"/>
      <c r="BT570" s="38"/>
      <c r="BU570" s="38"/>
      <c r="BV570" s="38"/>
    </row>
    <row r="571" ht="14.25" customHeight="1">
      <c r="A571" s="74"/>
      <c r="B571" s="38"/>
      <c r="C571" s="38"/>
      <c r="D571" s="38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38"/>
      <c r="AM571" s="38"/>
      <c r="AN571" s="75"/>
      <c r="AO571" s="75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  <c r="BP571" s="38"/>
      <c r="BQ571" s="38"/>
      <c r="BR571" s="38"/>
      <c r="BS571" s="38"/>
      <c r="BT571" s="38"/>
      <c r="BU571" s="38"/>
      <c r="BV571" s="38"/>
    </row>
    <row r="572" ht="14.25" customHeight="1">
      <c r="A572" s="74"/>
      <c r="B572" s="38"/>
      <c r="C572" s="38"/>
      <c r="D572" s="38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38"/>
      <c r="AM572" s="38"/>
      <c r="AN572" s="75"/>
      <c r="AO572" s="75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  <c r="BP572" s="38"/>
      <c r="BQ572" s="38"/>
      <c r="BR572" s="38"/>
      <c r="BS572" s="38"/>
      <c r="BT572" s="38"/>
      <c r="BU572" s="38"/>
      <c r="BV572" s="38"/>
    </row>
    <row r="573" ht="14.25" customHeight="1">
      <c r="A573" s="74"/>
      <c r="B573" s="38"/>
      <c r="C573" s="38"/>
      <c r="D573" s="38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38"/>
      <c r="AM573" s="38"/>
      <c r="AN573" s="75"/>
      <c r="AO573" s="75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  <c r="BP573" s="38"/>
      <c r="BQ573" s="38"/>
      <c r="BR573" s="38"/>
      <c r="BS573" s="38"/>
      <c r="BT573" s="38"/>
      <c r="BU573" s="38"/>
      <c r="BV573" s="38"/>
    </row>
    <row r="574" ht="14.25" customHeight="1">
      <c r="A574" s="74"/>
      <c r="B574" s="38"/>
      <c r="C574" s="38"/>
      <c r="D574" s="38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38"/>
      <c r="AM574" s="38"/>
      <c r="AN574" s="75"/>
      <c r="AO574" s="75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  <c r="BP574" s="38"/>
      <c r="BQ574" s="38"/>
      <c r="BR574" s="38"/>
      <c r="BS574" s="38"/>
      <c r="BT574" s="38"/>
      <c r="BU574" s="38"/>
      <c r="BV574" s="38"/>
    </row>
    <row r="575" ht="14.25" customHeight="1">
      <c r="A575" s="74"/>
      <c r="B575" s="38"/>
      <c r="C575" s="38"/>
      <c r="D575" s="38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38"/>
      <c r="AM575" s="38"/>
      <c r="AN575" s="75"/>
      <c r="AO575" s="75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  <c r="BP575" s="38"/>
      <c r="BQ575" s="38"/>
      <c r="BR575" s="38"/>
      <c r="BS575" s="38"/>
      <c r="BT575" s="38"/>
      <c r="BU575" s="38"/>
      <c r="BV575" s="38"/>
    </row>
    <row r="576" ht="14.25" customHeight="1">
      <c r="A576" s="74"/>
      <c r="B576" s="38"/>
      <c r="C576" s="38"/>
      <c r="D576" s="38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38"/>
      <c r="AM576" s="38"/>
      <c r="AN576" s="75"/>
      <c r="AO576" s="75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  <c r="BP576" s="38"/>
      <c r="BQ576" s="38"/>
      <c r="BR576" s="38"/>
      <c r="BS576" s="38"/>
      <c r="BT576" s="38"/>
      <c r="BU576" s="38"/>
      <c r="BV576" s="38"/>
    </row>
    <row r="577" ht="14.25" customHeight="1">
      <c r="A577" s="74"/>
      <c r="B577" s="38"/>
      <c r="C577" s="38"/>
      <c r="D577" s="38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38"/>
      <c r="AM577" s="38"/>
      <c r="AN577" s="75"/>
      <c r="AO577" s="75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  <c r="BP577" s="38"/>
      <c r="BQ577" s="38"/>
      <c r="BR577" s="38"/>
      <c r="BS577" s="38"/>
      <c r="BT577" s="38"/>
      <c r="BU577" s="38"/>
      <c r="BV577" s="38"/>
    </row>
    <row r="578" ht="14.25" customHeight="1">
      <c r="A578" s="74"/>
      <c r="B578" s="38"/>
      <c r="C578" s="38"/>
      <c r="D578" s="38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38"/>
      <c r="AM578" s="38"/>
      <c r="AN578" s="75"/>
      <c r="AO578" s="75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  <c r="BP578" s="38"/>
      <c r="BQ578" s="38"/>
      <c r="BR578" s="38"/>
      <c r="BS578" s="38"/>
      <c r="BT578" s="38"/>
      <c r="BU578" s="38"/>
      <c r="BV578" s="38"/>
    </row>
    <row r="579" ht="14.25" customHeight="1">
      <c r="A579" s="74"/>
      <c r="B579" s="38"/>
      <c r="C579" s="38"/>
      <c r="D579" s="38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38"/>
      <c r="AM579" s="38"/>
      <c r="AN579" s="75"/>
      <c r="AO579" s="75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  <c r="BP579" s="38"/>
      <c r="BQ579" s="38"/>
      <c r="BR579" s="38"/>
      <c r="BS579" s="38"/>
      <c r="BT579" s="38"/>
      <c r="BU579" s="38"/>
      <c r="BV579" s="38"/>
    </row>
    <row r="580" ht="14.25" customHeight="1">
      <c r="A580" s="74"/>
      <c r="B580" s="38"/>
      <c r="C580" s="38"/>
      <c r="D580" s="38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38"/>
      <c r="AM580" s="38"/>
      <c r="AN580" s="75"/>
      <c r="AO580" s="75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  <c r="BP580" s="38"/>
      <c r="BQ580" s="38"/>
      <c r="BR580" s="38"/>
      <c r="BS580" s="38"/>
      <c r="BT580" s="38"/>
      <c r="BU580" s="38"/>
      <c r="BV580" s="38"/>
    </row>
    <row r="581" ht="14.25" customHeight="1">
      <c r="A581" s="74"/>
      <c r="B581" s="38"/>
      <c r="C581" s="38"/>
      <c r="D581" s="38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38"/>
      <c r="AM581" s="38"/>
      <c r="AN581" s="75"/>
      <c r="AO581" s="75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  <c r="BP581" s="38"/>
      <c r="BQ581" s="38"/>
      <c r="BR581" s="38"/>
      <c r="BS581" s="38"/>
      <c r="BT581" s="38"/>
      <c r="BU581" s="38"/>
      <c r="BV581" s="38"/>
    </row>
    <row r="582" ht="14.25" customHeight="1">
      <c r="A582" s="74"/>
      <c r="B582" s="38"/>
      <c r="C582" s="38"/>
      <c r="D582" s="38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38"/>
      <c r="AM582" s="38"/>
      <c r="AN582" s="75"/>
      <c r="AO582" s="75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  <c r="BP582" s="38"/>
      <c r="BQ582" s="38"/>
      <c r="BR582" s="38"/>
      <c r="BS582" s="38"/>
      <c r="BT582" s="38"/>
      <c r="BU582" s="38"/>
      <c r="BV582" s="38"/>
    </row>
    <row r="583" ht="14.25" customHeight="1">
      <c r="A583" s="74"/>
      <c r="B583" s="38"/>
      <c r="C583" s="38"/>
      <c r="D583" s="38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38"/>
      <c r="AM583" s="38"/>
      <c r="AN583" s="75"/>
      <c r="AO583" s="75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  <c r="BP583" s="38"/>
      <c r="BQ583" s="38"/>
      <c r="BR583" s="38"/>
      <c r="BS583" s="38"/>
      <c r="BT583" s="38"/>
      <c r="BU583" s="38"/>
      <c r="BV583" s="38"/>
    </row>
    <row r="584" ht="14.25" customHeight="1">
      <c r="A584" s="74"/>
      <c r="B584" s="38"/>
      <c r="C584" s="38"/>
      <c r="D584" s="38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38"/>
      <c r="AM584" s="38"/>
      <c r="AN584" s="75"/>
      <c r="AO584" s="75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  <c r="BP584" s="38"/>
      <c r="BQ584" s="38"/>
      <c r="BR584" s="38"/>
      <c r="BS584" s="38"/>
      <c r="BT584" s="38"/>
      <c r="BU584" s="38"/>
      <c r="BV584" s="38"/>
    </row>
    <row r="585" ht="14.25" customHeight="1">
      <c r="A585" s="74"/>
      <c r="B585" s="38"/>
      <c r="C585" s="38"/>
      <c r="D585" s="38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38"/>
      <c r="AM585" s="38"/>
      <c r="AN585" s="75"/>
      <c r="AO585" s="75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  <c r="BP585" s="38"/>
      <c r="BQ585" s="38"/>
      <c r="BR585" s="38"/>
      <c r="BS585" s="38"/>
      <c r="BT585" s="38"/>
      <c r="BU585" s="38"/>
      <c r="BV585" s="38"/>
    </row>
    <row r="586" ht="14.25" customHeight="1">
      <c r="A586" s="74"/>
      <c r="B586" s="38"/>
      <c r="C586" s="38"/>
      <c r="D586" s="38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38"/>
      <c r="AM586" s="38"/>
      <c r="AN586" s="75"/>
      <c r="AO586" s="75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  <c r="BP586" s="38"/>
      <c r="BQ586" s="38"/>
      <c r="BR586" s="38"/>
      <c r="BS586" s="38"/>
      <c r="BT586" s="38"/>
      <c r="BU586" s="38"/>
      <c r="BV586" s="38"/>
    </row>
    <row r="587" ht="14.25" customHeight="1">
      <c r="A587" s="74"/>
      <c r="B587" s="38"/>
      <c r="C587" s="38"/>
      <c r="D587" s="38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38"/>
      <c r="AM587" s="38"/>
      <c r="AN587" s="75"/>
      <c r="AO587" s="75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  <c r="BP587" s="38"/>
      <c r="BQ587" s="38"/>
      <c r="BR587" s="38"/>
      <c r="BS587" s="38"/>
      <c r="BT587" s="38"/>
      <c r="BU587" s="38"/>
      <c r="BV587" s="38"/>
    </row>
    <row r="588" ht="14.25" customHeight="1">
      <c r="A588" s="74"/>
      <c r="B588" s="38"/>
      <c r="C588" s="38"/>
      <c r="D588" s="38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38"/>
      <c r="AM588" s="38"/>
      <c r="AN588" s="75"/>
      <c r="AO588" s="75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  <c r="BP588" s="38"/>
      <c r="BQ588" s="38"/>
      <c r="BR588" s="38"/>
      <c r="BS588" s="38"/>
      <c r="BT588" s="38"/>
      <c r="BU588" s="38"/>
      <c r="BV588" s="38"/>
    </row>
    <row r="589" ht="14.25" customHeight="1">
      <c r="A589" s="74"/>
      <c r="B589" s="38"/>
      <c r="C589" s="38"/>
      <c r="D589" s="38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38"/>
      <c r="AM589" s="38"/>
      <c r="AN589" s="75"/>
      <c r="AO589" s="75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  <c r="BP589" s="38"/>
      <c r="BQ589" s="38"/>
      <c r="BR589" s="38"/>
      <c r="BS589" s="38"/>
      <c r="BT589" s="38"/>
      <c r="BU589" s="38"/>
      <c r="BV589" s="38"/>
    </row>
    <row r="590" ht="14.25" customHeight="1">
      <c r="A590" s="74"/>
      <c r="B590" s="38"/>
      <c r="C590" s="38"/>
      <c r="D590" s="38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38"/>
      <c r="AM590" s="38"/>
      <c r="AN590" s="75"/>
      <c r="AO590" s="75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  <c r="BP590" s="38"/>
      <c r="BQ590" s="38"/>
      <c r="BR590" s="38"/>
      <c r="BS590" s="38"/>
      <c r="BT590" s="38"/>
      <c r="BU590" s="38"/>
      <c r="BV590" s="38"/>
    </row>
    <row r="591" ht="14.25" customHeight="1">
      <c r="A591" s="74"/>
      <c r="B591" s="38"/>
      <c r="C591" s="38"/>
      <c r="D591" s="38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38"/>
      <c r="AM591" s="38"/>
      <c r="AN591" s="75"/>
      <c r="AO591" s="75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  <c r="BP591" s="38"/>
      <c r="BQ591" s="38"/>
      <c r="BR591" s="38"/>
      <c r="BS591" s="38"/>
      <c r="BT591" s="38"/>
      <c r="BU591" s="38"/>
      <c r="BV591" s="38"/>
    </row>
    <row r="592" ht="14.25" customHeight="1">
      <c r="A592" s="74"/>
      <c r="B592" s="38"/>
      <c r="C592" s="38"/>
      <c r="D592" s="38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38"/>
      <c r="AM592" s="38"/>
      <c r="AN592" s="75"/>
      <c r="AO592" s="75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  <c r="BP592" s="38"/>
      <c r="BQ592" s="38"/>
      <c r="BR592" s="38"/>
      <c r="BS592" s="38"/>
      <c r="BT592" s="38"/>
      <c r="BU592" s="38"/>
      <c r="BV592" s="38"/>
    </row>
    <row r="593" ht="14.25" customHeight="1">
      <c r="A593" s="74"/>
      <c r="B593" s="38"/>
      <c r="C593" s="38"/>
      <c r="D593" s="38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38"/>
      <c r="AM593" s="38"/>
      <c r="AN593" s="75"/>
      <c r="AO593" s="75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  <c r="BP593" s="38"/>
      <c r="BQ593" s="38"/>
      <c r="BR593" s="38"/>
      <c r="BS593" s="38"/>
      <c r="BT593" s="38"/>
      <c r="BU593" s="38"/>
      <c r="BV593" s="38"/>
    </row>
    <row r="594" ht="14.25" customHeight="1">
      <c r="A594" s="74"/>
      <c r="B594" s="38"/>
      <c r="C594" s="38"/>
      <c r="D594" s="38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38"/>
      <c r="AM594" s="38"/>
      <c r="AN594" s="75"/>
      <c r="AO594" s="75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  <c r="BP594" s="38"/>
      <c r="BQ594" s="38"/>
      <c r="BR594" s="38"/>
      <c r="BS594" s="38"/>
      <c r="BT594" s="38"/>
      <c r="BU594" s="38"/>
      <c r="BV594" s="38"/>
    </row>
    <row r="595" ht="14.25" customHeight="1">
      <c r="A595" s="74"/>
      <c r="B595" s="38"/>
      <c r="C595" s="38"/>
      <c r="D595" s="38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38"/>
      <c r="AM595" s="38"/>
      <c r="AN595" s="75"/>
      <c r="AO595" s="75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  <c r="BP595" s="38"/>
      <c r="BQ595" s="38"/>
      <c r="BR595" s="38"/>
      <c r="BS595" s="38"/>
      <c r="BT595" s="38"/>
      <c r="BU595" s="38"/>
      <c r="BV595" s="38"/>
    </row>
    <row r="596" ht="14.25" customHeight="1">
      <c r="A596" s="74"/>
      <c r="B596" s="38"/>
      <c r="C596" s="38"/>
      <c r="D596" s="38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38"/>
      <c r="AM596" s="38"/>
      <c r="AN596" s="75"/>
      <c r="AO596" s="75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  <c r="BP596" s="38"/>
      <c r="BQ596" s="38"/>
      <c r="BR596" s="38"/>
      <c r="BS596" s="38"/>
      <c r="BT596" s="38"/>
      <c r="BU596" s="38"/>
      <c r="BV596" s="38"/>
    </row>
    <row r="597" ht="14.25" customHeight="1">
      <c r="A597" s="74"/>
      <c r="B597" s="38"/>
      <c r="C597" s="38"/>
      <c r="D597" s="38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38"/>
      <c r="AM597" s="38"/>
      <c r="AN597" s="75"/>
      <c r="AO597" s="75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  <c r="BP597" s="38"/>
      <c r="BQ597" s="38"/>
      <c r="BR597" s="38"/>
      <c r="BS597" s="38"/>
      <c r="BT597" s="38"/>
      <c r="BU597" s="38"/>
      <c r="BV597" s="38"/>
    </row>
    <row r="598" ht="14.25" customHeight="1">
      <c r="A598" s="74"/>
      <c r="B598" s="38"/>
      <c r="C598" s="38"/>
      <c r="D598" s="38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38"/>
      <c r="AM598" s="38"/>
      <c r="AN598" s="75"/>
      <c r="AO598" s="75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  <c r="BP598" s="38"/>
      <c r="BQ598" s="38"/>
      <c r="BR598" s="38"/>
      <c r="BS598" s="38"/>
      <c r="BT598" s="38"/>
      <c r="BU598" s="38"/>
      <c r="BV598" s="38"/>
    </row>
    <row r="599" ht="14.25" customHeight="1">
      <c r="A599" s="74"/>
      <c r="B599" s="38"/>
      <c r="C599" s="38"/>
      <c r="D599" s="38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38"/>
      <c r="AM599" s="38"/>
      <c r="AN599" s="75"/>
      <c r="AO599" s="75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  <c r="BP599" s="38"/>
      <c r="BQ599" s="38"/>
      <c r="BR599" s="38"/>
      <c r="BS599" s="38"/>
      <c r="BT599" s="38"/>
      <c r="BU599" s="38"/>
      <c r="BV599" s="38"/>
    </row>
    <row r="600" ht="14.25" customHeight="1">
      <c r="A600" s="74"/>
      <c r="B600" s="38"/>
      <c r="C600" s="38"/>
      <c r="D600" s="38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38"/>
      <c r="AM600" s="38"/>
      <c r="AN600" s="75"/>
      <c r="AO600" s="75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  <c r="BP600" s="38"/>
      <c r="BQ600" s="38"/>
      <c r="BR600" s="38"/>
      <c r="BS600" s="38"/>
      <c r="BT600" s="38"/>
      <c r="BU600" s="38"/>
      <c r="BV600" s="38"/>
    </row>
    <row r="601" ht="14.25" customHeight="1">
      <c r="A601" s="74"/>
      <c r="B601" s="38"/>
      <c r="C601" s="38"/>
      <c r="D601" s="38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38"/>
      <c r="AM601" s="38"/>
      <c r="AN601" s="75"/>
      <c r="AO601" s="75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  <c r="BP601" s="38"/>
      <c r="BQ601" s="38"/>
      <c r="BR601" s="38"/>
      <c r="BS601" s="38"/>
      <c r="BT601" s="38"/>
      <c r="BU601" s="38"/>
      <c r="BV601" s="38"/>
    </row>
    <row r="602" ht="14.25" customHeight="1">
      <c r="A602" s="74"/>
      <c r="B602" s="38"/>
      <c r="C602" s="38"/>
      <c r="D602" s="38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38"/>
      <c r="AM602" s="38"/>
      <c r="AN602" s="75"/>
      <c r="AO602" s="75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  <c r="BP602" s="38"/>
      <c r="BQ602" s="38"/>
      <c r="BR602" s="38"/>
      <c r="BS602" s="38"/>
      <c r="BT602" s="38"/>
      <c r="BU602" s="38"/>
      <c r="BV602" s="38"/>
    </row>
    <row r="603" ht="14.25" customHeight="1">
      <c r="A603" s="74"/>
      <c r="B603" s="38"/>
      <c r="C603" s="38"/>
      <c r="D603" s="38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38"/>
      <c r="AM603" s="38"/>
      <c r="AN603" s="75"/>
      <c r="AO603" s="75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  <c r="BP603" s="38"/>
      <c r="BQ603" s="38"/>
      <c r="BR603" s="38"/>
      <c r="BS603" s="38"/>
      <c r="BT603" s="38"/>
      <c r="BU603" s="38"/>
      <c r="BV603" s="38"/>
    </row>
    <row r="604" ht="14.25" customHeight="1">
      <c r="A604" s="74"/>
      <c r="B604" s="38"/>
      <c r="C604" s="38"/>
      <c r="D604" s="38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38"/>
      <c r="AM604" s="38"/>
      <c r="AN604" s="75"/>
      <c r="AO604" s="75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  <c r="BP604" s="38"/>
      <c r="BQ604" s="38"/>
      <c r="BR604" s="38"/>
      <c r="BS604" s="38"/>
      <c r="BT604" s="38"/>
      <c r="BU604" s="38"/>
      <c r="BV604" s="38"/>
    </row>
    <row r="605" ht="14.25" customHeight="1">
      <c r="A605" s="74"/>
      <c r="B605" s="38"/>
      <c r="C605" s="38"/>
      <c r="D605" s="38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38"/>
      <c r="AM605" s="38"/>
      <c r="AN605" s="75"/>
      <c r="AO605" s="75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  <c r="BP605" s="38"/>
      <c r="BQ605" s="38"/>
      <c r="BR605" s="38"/>
      <c r="BS605" s="38"/>
      <c r="BT605" s="38"/>
      <c r="BU605" s="38"/>
      <c r="BV605" s="38"/>
    </row>
    <row r="606" ht="14.25" customHeight="1">
      <c r="A606" s="74"/>
      <c r="B606" s="38"/>
      <c r="C606" s="38"/>
      <c r="D606" s="38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38"/>
      <c r="AM606" s="38"/>
      <c r="AN606" s="75"/>
      <c r="AO606" s="75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  <c r="BP606" s="38"/>
      <c r="BQ606" s="38"/>
      <c r="BR606" s="38"/>
      <c r="BS606" s="38"/>
      <c r="BT606" s="38"/>
      <c r="BU606" s="38"/>
      <c r="BV606" s="38"/>
    </row>
    <row r="607" ht="14.25" customHeight="1">
      <c r="A607" s="74"/>
      <c r="B607" s="38"/>
      <c r="C607" s="38"/>
      <c r="D607" s="38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38"/>
      <c r="AM607" s="38"/>
      <c r="AN607" s="75"/>
      <c r="AO607" s="75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  <c r="BP607" s="38"/>
      <c r="BQ607" s="38"/>
      <c r="BR607" s="38"/>
      <c r="BS607" s="38"/>
      <c r="BT607" s="38"/>
      <c r="BU607" s="38"/>
      <c r="BV607" s="38"/>
    </row>
    <row r="608" ht="14.25" customHeight="1">
      <c r="A608" s="74"/>
      <c r="B608" s="38"/>
      <c r="C608" s="38"/>
      <c r="D608" s="38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38"/>
      <c r="AM608" s="38"/>
      <c r="AN608" s="75"/>
      <c r="AO608" s="75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  <c r="BP608" s="38"/>
      <c r="BQ608" s="38"/>
      <c r="BR608" s="38"/>
      <c r="BS608" s="38"/>
      <c r="BT608" s="38"/>
      <c r="BU608" s="38"/>
      <c r="BV608" s="38"/>
    </row>
    <row r="609" ht="14.25" customHeight="1">
      <c r="A609" s="74"/>
      <c r="B609" s="38"/>
      <c r="C609" s="38"/>
      <c r="D609" s="38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38"/>
      <c r="AM609" s="38"/>
      <c r="AN609" s="75"/>
      <c r="AO609" s="75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  <c r="BP609" s="38"/>
      <c r="BQ609" s="38"/>
      <c r="BR609" s="38"/>
      <c r="BS609" s="38"/>
      <c r="BT609" s="38"/>
      <c r="BU609" s="38"/>
      <c r="BV609" s="38"/>
    </row>
    <row r="610" ht="14.25" customHeight="1">
      <c r="A610" s="74"/>
      <c r="B610" s="38"/>
      <c r="C610" s="38"/>
      <c r="D610" s="38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38"/>
      <c r="AM610" s="38"/>
      <c r="AN610" s="75"/>
      <c r="AO610" s="75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  <c r="BP610" s="38"/>
      <c r="BQ610" s="38"/>
      <c r="BR610" s="38"/>
      <c r="BS610" s="38"/>
      <c r="BT610" s="38"/>
      <c r="BU610" s="38"/>
      <c r="BV610" s="38"/>
    </row>
    <row r="611" ht="14.25" customHeight="1">
      <c r="A611" s="74"/>
      <c r="B611" s="38"/>
      <c r="C611" s="38"/>
      <c r="D611" s="38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38"/>
      <c r="AM611" s="38"/>
      <c r="AN611" s="75"/>
      <c r="AO611" s="75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  <c r="BP611" s="38"/>
      <c r="BQ611" s="38"/>
      <c r="BR611" s="38"/>
      <c r="BS611" s="38"/>
      <c r="BT611" s="38"/>
      <c r="BU611" s="38"/>
      <c r="BV611" s="38"/>
    </row>
    <row r="612" ht="14.25" customHeight="1">
      <c r="A612" s="74"/>
      <c r="B612" s="38"/>
      <c r="C612" s="38"/>
      <c r="D612" s="38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38"/>
      <c r="AM612" s="38"/>
      <c r="AN612" s="75"/>
      <c r="AO612" s="75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  <c r="BP612" s="38"/>
      <c r="BQ612" s="38"/>
      <c r="BR612" s="38"/>
      <c r="BS612" s="38"/>
      <c r="BT612" s="38"/>
      <c r="BU612" s="38"/>
      <c r="BV612" s="38"/>
    </row>
    <row r="613" ht="14.25" customHeight="1">
      <c r="A613" s="74"/>
      <c r="B613" s="38"/>
      <c r="C613" s="38"/>
      <c r="D613" s="38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38"/>
      <c r="AM613" s="38"/>
      <c r="AN613" s="75"/>
      <c r="AO613" s="75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  <c r="BP613" s="38"/>
      <c r="BQ613" s="38"/>
      <c r="BR613" s="38"/>
      <c r="BS613" s="38"/>
      <c r="BT613" s="38"/>
      <c r="BU613" s="38"/>
      <c r="BV613" s="38"/>
    </row>
    <row r="614" ht="14.25" customHeight="1">
      <c r="A614" s="74"/>
      <c r="B614" s="38"/>
      <c r="C614" s="38"/>
      <c r="D614" s="38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38"/>
      <c r="AM614" s="38"/>
      <c r="AN614" s="75"/>
      <c r="AO614" s="75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  <c r="BQ614" s="38"/>
      <c r="BR614" s="38"/>
      <c r="BS614" s="38"/>
      <c r="BT614" s="38"/>
      <c r="BU614" s="38"/>
      <c r="BV614" s="38"/>
    </row>
    <row r="615" ht="14.25" customHeight="1">
      <c r="A615" s="74"/>
      <c r="B615" s="38"/>
      <c r="C615" s="38"/>
      <c r="D615" s="38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38"/>
      <c r="AM615" s="38"/>
      <c r="AN615" s="75"/>
      <c r="AO615" s="75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  <c r="BP615" s="38"/>
      <c r="BQ615" s="38"/>
      <c r="BR615" s="38"/>
      <c r="BS615" s="38"/>
      <c r="BT615" s="38"/>
      <c r="BU615" s="38"/>
      <c r="BV615" s="38"/>
    </row>
    <row r="616" ht="14.25" customHeight="1">
      <c r="A616" s="74"/>
      <c r="B616" s="38"/>
      <c r="C616" s="38"/>
      <c r="D616" s="38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38"/>
      <c r="AM616" s="38"/>
      <c r="AN616" s="75"/>
      <c r="AO616" s="75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  <c r="BP616" s="38"/>
      <c r="BQ616" s="38"/>
      <c r="BR616" s="38"/>
      <c r="BS616" s="38"/>
      <c r="BT616" s="38"/>
      <c r="BU616" s="38"/>
      <c r="BV616" s="38"/>
    </row>
    <row r="617" ht="14.25" customHeight="1">
      <c r="A617" s="74"/>
      <c r="B617" s="38"/>
      <c r="C617" s="38"/>
      <c r="D617" s="38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38"/>
      <c r="AM617" s="38"/>
      <c r="AN617" s="75"/>
      <c r="AO617" s="75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  <c r="BP617" s="38"/>
      <c r="BQ617" s="38"/>
      <c r="BR617" s="38"/>
      <c r="BS617" s="38"/>
      <c r="BT617" s="38"/>
      <c r="BU617" s="38"/>
      <c r="BV617" s="38"/>
    </row>
    <row r="618" ht="14.25" customHeight="1">
      <c r="A618" s="74"/>
      <c r="B618" s="38"/>
      <c r="C618" s="38"/>
      <c r="D618" s="38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38"/>
      <c r="AM618" s="38"/>
      <c r="AN618" s="75"/>
      <c r="AO618" s="75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  <c r="BP618" s="38"/>
      <c r="BQ618" s="38"/>
      <c r="BR618" s="38"/>
      <c r="BS618" s="38"/>
      <c r="BT618" s="38"/>
      <c r="BU618" s="38"/>
      <c r="BV618" s="38"/>
    </row>
    <row r="619" ht="14.25" customHeight="1">
      <c r="A619" s="74"/>
      <c r="B619" s="38"/>
      <c r="C619" s="38"/>
      <c r="D619" s="38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38"/>
      <c r="AM619" s="38"/>
      <c r="AN619" s="75"/>
      <c r="AO619" s="75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  <c r="BP619" s="38"/>
      <c r="BQ619" s="38"/>
      <c r="BR619" s="38"/>
      <c r="BS619" s="38"/>
      <c r="BT619" s="38"/>
      <c r="BU619" s="38"/>
      <c r="BV619" s="38"/>
    </row>
    <row r="620" ht="14.25" customHeight="1">
      <c r="A620" s="74"/>
      <c r="B620" s="38"/>
      <c r="C620" s="38"/>
      <c r="D620" s="38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38"/>
      <c r="AM620" s="38"/>
      <c r="AN620" s="75"/>
      <c r="AO620" s="75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  <c r="BP620" s="38"/>
      <c r="BQ620" s="38"/>
      <c r="BR620" s="38"/>
      <c r="BS620" s="38"/>
      <c r="BT620" s="38"/>
      <c r="BU620" s="38"/>
      <c r="BV620" s="38"/>
    </row>
    <row r="621" ht="14.25" customHeight="1">
      <c r="A621" s="74"/>
      <c r="B621" s="38"/>
      <c r="C621" s="38"/>
      <c r="D621" s="38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38"/>
      <c r="AM621" s="38"/>
      <c r="AN621" s="75"/>
      <c r="AO621" s="75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  <c r="BP621" s="38"/>
      <c r="BQ621" s="38"/>
      <c r="BR621" s="38"/>
      <c r="BS621" s="38"/>
      <c r="BT621" s="38"/>
      <c r="BU621" s="38"/>
      <c r="BV621" s="38"/>
    </row>
    <row r="622" ht="14.25" customHeight="1">
      <c r="A622" s="74"/>
      <c r="B622" s="38"/>
      <c r="C622" s="38"/>
      <c r="D622" s="38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38"/>
      <c r="AM622" s="38"/>
      <c r="AN622" s="75"/>
      <c r="AO622" s="75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  <c r="BP622" s="38"/>
      <c r="BQ622" s="38"/>
      <c r="BR622" s="38"/>
      <c r="BS622" s="38"/>
      <c r="BT622" s="38"/>
      <c r="BU622" s="38"/>
      <c r="BV622" s="38"/>
    </row>
    <row r="623" ht="14.25" customHeight="1">
      <c r="A623" s="74"/>
      <c r="B623" s="38"/>
      <c r="C623" s="38"/>
      <c r="D623" s="38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38"/>
      <c r="AM623" s="38"/>
      <c r="AN623" s="75"/>
      <c r="AO623" s="75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  <c r="BP623" s="38"/>
      <c r="BQ623" s="38"/>
      <c r="BR623" s="38"/>
      <c r="BS623" s="38"/>
      <c r="BT623" s="38"/>
      <c r="BU623" s="38"/>
      <c r="BV623" s="38"/>
    </row>
    <row r="624" ht="14.25" customHeight="1">
      <c r="A624" s="74"/>
      <c r="B624" s="38"/>
      <c r="C624" s="38"/>
      <c r="D624" s="38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38"/>
      <c r="AM624" s="38"/>
      <c r="AN624" s="75"/>
      <c r="AO624" s="75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  <c r="BP624" s="38"/>
      <c r="BQ624" s="38"/>
      <c r="BR624" s="38"/>
      <c r="BS624" s="38"/>
      <c r="BT624" s="38"/>
      <c r="BU624" s="38"/>
      <c r="BV624" s="38"/>
    </row>
    <row r="625" ht="14.25" customHeight="1">
      <c r="A625" s="74"/>
      <c r="B625" s="38"/>
      <c r="C625" s="38"/>
      <c r="D625" s="38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38"/>
      <c r="AM625" s="38"/>
      <c r="AN625" s="75"/>
      <c r="AO625" s="75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  <c r="BP625" s="38"/>
      <c r="BQ625" s="38"/>
      <c r="BR625" s="38"/>
      <c r="BS625" s="38"/>
      <c r="BT625" s="38"/>
      <c r="BU625" s="38"/>
      <c r="BV625" s="38"/>
    </row>
    <row r="626" ht="14.25" customHeight="1">
      <c r="A626" s="74"/>
      <c r="B626" s="38"/>
      <c r="C626" s="38"/>
      <c r="D626" s="38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38"/>
      <c r="AM626" s="38"/>
      <c r="AN626" s="75"/>
      <c r="AO626" s="75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  <c r="BP626" s="38"/>
      <c r="BQ626" s="38"/>
      <c r="BR626" s="38"/>
      <c r="BS626" s="38"/>
      <c r="BT626" s="38"/>
      <c r="BU626" s="38"/>
      <c r="BV626" s="38"/>
    </row>
    <row r="627" ht="14.25" customHeight="1">
      <c r="A627" s="74"/>
      <c r="B627" s="38"/>
      <c r="C627" s="38"/>
      <c r="D627" s="38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38"/>
      <c r="AM627" s="38"/>
      <c r="AN627" s="75"/>
      <c r="AO627" s="75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  <c r="BP627" s="38"/>
      <c r="BQ627" s="38"/>
      <c r="BR627" s="38"/>
      <c r="BS627" s="38"/>
      <c r="BT627" s="38"/>
      <c r="BU627" s="38"/>
      <c r="BV627" s="38"/>
    </row>
    <row r="628" ht="14.25" customHeight="1">
      <c r="A628" s="74"/>
      <c r="B628" s="38"/>
      <c r="C628" s="38"/>
      <c r="D628" s="38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38"/>
      <c r="AM628" s="38"/>
      <c r="AN628" s="75"/>
      <c r="AO628" s="75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  <c r="BP628" s="38"/>
      <c r="BQ628" s="38"/>
      <c r="BR628" s="38"/>
      <c r="BS628" s="38"/>
      <c r="BT628" s="38"/>
      <c r="BU628" s="38"/>
      <c r="BV628" s="38"/>
    </row>
    <row r="629" ht="14.25" customHeight="1">
      <c r="A629" s="74"/>
      <c r="B629" s="38"/>
      <c r="C629" s="38"/>
      <c r="D629" s="38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38"/>
      <c r="AM629" s="38"/>
      <c r="AN629" s="75"/>
      <c r="AO629" s="75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  <c r="BP629" s="38"/>
      <c r="BQ629" s="38"/>
      <c r="BR629" s="38"/>
      <c r="BS629" s="38"/>
      <c r="BT629" s="38"/>
      <c r="BU629" s="38"/>
      <c r="BV629" s="38"/>
    </row>
    <row r="630" ht="14.25" customHeight="1">
      <c r="A630" s="74"/>
      <c r="B630" s="38"/>
      <c r="C630" s="38"/>
      <c r="D630" s="38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38"/>
      <c r="AM630" s="38"/>
      <c r="AN630" s="75"/>
      <c r="AO630" s="75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  <c r="BP630" s="38"/>
      <c r="BQ630" s="38"/>
      <c r="BR630" s="38"/>
      <c r="BS630" s="38"/>
      <c r="BT630" s="38"/>
      <c r="BU630" s="38"/>
      <c r="BV630" s="38"/>
    </row>
    <row r="631" ht="14.25" customHeight="1">
      <c r="A631" s="74"/>
      <c r="B631" s="38"/>
      <c r="C631" s="38"/>
      <c r="D631" s="38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38"/>
      <c r="AM631" s="38"/>
      <c r="AN631" s="75"/>
      <c r="AO631" s="75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  <c r="BP631" s="38"/>
      <c r="BQ631" s="38"/>
      <c r="BR631" s="38"/>
      <c r="BS631" s="38"/>
      <c r="BT631" s="38"/>
      <c r="BU631" s="38"/>
      <c r="BV631" s="38"/>
    </row>
    <row r="632" ht="14.25" customHeight="1">
      <c r="A632" s="74"/>
      <c r="B632" s="38"/>
      <c r="C632" s="38"/>
      <c r="D632" s="38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38"/>
      <c r="AM632" s="38"/>
      <c r="AN632" s="75"/>
      <c r="AO632" s="75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  <c r="BP632" s="38"/>
      <c r="BQ632" s="38"/>
      <c r="BR632" s="38"/>
      <c r="BS632" s="38"/>
      <c r="BT632" s="38"/>
      <c r="BU632" s="38"/>
      <c r="BV632" s="38"/>
    </row>
    <row r="633" ht="14.25" customHeight="1">
      <c r="A633" s="74"/>
      <c r="B633" s="38"/>
      <c r="C633" s="38"/>
      <c r="D633" s="38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38"/>
      <c r="AM633" s="38"/>
      <c r="AN633" s="75"/>
      <c r="AO633" s="75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  <c r="BP633" s="38"/>
      <c r="BQ633" s="38"/>
      <c r="BR633" s="38"/>
      <c r="BS633" s="38"/>
      <c r="BT633" s="38"/>
      <c r="BU633" s="38"/>
      <c r="BV633" s="38"/>
    </row>
    <row r="634" ht="14.25" customHeight="1">
      <c r="A634" s="74"/>
      <c r="B634" s="38"/>
      <c r="C634" s="38"/>
      <c r="D634" s="38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38"/>
      <c r="AM634" s="38"/>
      <c r="AN634" s="75"/>
      <c r="AO634" s="75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  <c r="BP634" s="38"/>
      <c r="BQ634" s="38"/>
      <c r="BR634" s="38"/>
      <c r="BS634" s="38"/>
      <c r="BT634" s="38"/>
      <c r="BU634" s="38"/>
      <c r="BV634" s="38"/>
    </row>
    <row r="635" ht="14.25" customHeight="1">
      <c r="A635" s="74"/>
      <c r="B635" s="38"/>
      <c r="C635" s="38"/>
      <c r="D635" s="38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38"/>
      <c r="AM635" s="38"/>
      <c r="AN635" s="75"/>
      <c r="AO635" s="75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  <c r="BP635" s="38"/>
      <c r="BQ635" s="38"/>
      <c r="BR635" s="38"/>
      <c r="BS635" s="38"/>
      <c r="BT635" s="38"/>
      <c r="BU635" s="38"/>
      <c r="BV635" s="38"/>
    </row>
    <row r="636" ht="14.25" customHeight="1">
      <c r="A636" s="74"/>
      <c r="B636" s="38"/>
      <c r="C636" s="38"/>
      <c r="D636" s="38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38"/>
      <c r="AM636" s="38"/>
      <c r="AN636" s="75"/>
      <c r="AO636" s="75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  <c r="BP636" s="38"/>
      <c r="BQ636" s="38"/>
      <c r="BR636" s="38"/>
      <c r="BS636" s="38"/>
      <c r="BT636" s="38"/>
      <c r="BU636" s="38"/>
      <c r="BV636" s="38"/>
    </row>
    <row r="637" ht="14.25" customHeight="1">
      <c r="A637" s="74"/>
      <c r="B637" s="38"/>
      <c r="C637" s="38"/>
      <c r="D637" s="38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38"/>
      <c r="AM637" s="38"/>
      <c r="AN637" s="75"/>
      <c r="AO637" s="75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  <c r="BP637" s="38"/>
      <c r="BQ637" s="38"/>
      <c r="BR637" s="38"/>
      <c r="BS637" s="38"/>
      <c r="BT637" s="38"/>
      <c r="BU637" s="38"/>
      <c r="BV637" s="38"/>
    </row>
    <row r="638" ht="14.25" customHeight="1">
      <c r="A638" s="74"/>
      <c r="B638" s="38"/>
      <c r="C638" s="38"/>
      <c r="D638" s="38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38"/>
      <c r="AM638" s="38"/>
      <c r="AN638" s="75"/>
      <c r="AO638" s="75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  <c r="BP638" s="38"/>
      <c r="BQ638" s="38"/>
      <c r="BR638" s="38"/>
      <c r="BS638" s="38"/>
      <c r="BT638" s="38"/>
      <c r="BU638" s="38"/>
      <c r="BV638" s="38"/>
    </row>
    <row r="639" ht="14.25" customHeight="1">
      <c r="A639" s="74"/>
      <c r="B639" s="38"/>
      <c r="C639" s="38"/>
      <c r="D639" s="38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38"/>
      <c r="AM639" s="38"/>
      <c r="AN639" s="75"/>
      <c r="AO639" s="75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  <c r="BP639" s="38"/>
      <c r="BQ639" s="38"/>
      <c r="BR639" s="38"/>
      <c r="BS639" s="38"/>
      <c r="BT639" s="38"/>
      <c r="BU639" s="38"/>
      <c r="BV639" s="38"/>
    </row>
    <row r="640" ht="14.25" customHeight="1">
      <c r="A640" s="74"/>
      <c r="B640" s="38"/>
      <c r="C640" s="38"/>
      <c r="D640" s="38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38"/>
      <c r="AM640" s="38"/>
      <c r="AN640" s="75"/>
      <c r="AO640" s="75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  <c r="BP640" s="38"/>
      <c r="BQ640" s="38"/>
      <c r="BR640" s="38"/>
      <c r="BS640" s="38"/>
      <c r="BT640" s="38"/>
      <c r="BU640" s="38"/>
      <c r="BV640" s="38"/>
    </row>
    <row r="641" ht="14.25" customHeight="1">
      <c r="A641" s="74"/>
      <c r="B641" s="38"/>
      <c r="C641" s="38"/>
      <c r="D641" s="38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38"/>
      <c r="AM641" s="38"/>
      <c r="AN641" s="75"/>
      <c r="AO641" s="75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  <c r="BP641" s="38"/>
      <c r="BQ641" s="38"/>
      <c r="BR641" s="38"/>
      <c r="BS641" s="38"/>
      <c r="BT641" s="38"/>
      <c r="BU641" s="38"/>
      <c r="BV641" s="38"/>
    </row>
    <row r="642" ht="14.25" customHeight="1">
      <c r="A642" s="74"/>
      <c r="B642" s="38"/>
      <c r="C642" s="38"/>
      <c r="D642" s="38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38"/>
      <c r="AM642" s="38"/>
      <c r="AN642" s="75"/>
      <c r="AO642" s="75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  <c r="BP642" s="38"/>
      <c r="BQ642" s="38"/>
      <c r="BR642" s="38"/>
      <c r="BS642" s="38"/>
      <c r="BT642" s="38"/>
      <c r="BU642" s="38"/>
      <c r="BV642" s="38"/>
    </row>
    <row r="643" ht="14.25" customHeight="1">
      <c r="A643" s="74"/>
      <c r="B643" s="38"/>
      <c r="C643" s="38"/>
      <c r="D643" s="38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38"/>
      <c r="AM643" s="38"/>
      <c r="AN643" s="75"/>
      <c r="AO643" s="75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  <c r="BP643" s="38"/>
      <c r="BQ643" s="38"/>
      <c r="BR643" s="38"/>
      <c r="BS643" s="38"/>
      <c r="BT643" s="38"/>
      <c r="BU643" s="38"/>
      <c r="BV643" s="38"/>
    </row>
    <row r="644" ht="14.25" customHeight="1">
      <c r="A644" s="74"/>
      <c r="B644" s="38"/>
      <c r="C644" s="38"/>
      <c r="D644" s="38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38"/>
      <c r="AM644" s="38"/>
      <c r="AN644" s="75"/>
      <c r="AO644" s="75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  <c r="BP644" s="38"/>
      <c r="BQ644" s="38"/>
      <c r="BR644" s="38"/>
      <c r="BS644" s="38"/>
      <c r="BT644" s="38"/>
      <c r="BU644" s="38"/>
      <c r="BV644" s="38"/>
    </row>
    <row r="645" ht="14.25" customHeight="1">
      <c r="A645" s="74"/>
      <c r="B645" s="38"/>
      <c r="C645" s="38"/>
      <c r="D645" s="38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38"/>
      <c r="AM645" s="38"/>
      <c r="AN645" s="75"/>
      <c r="AO645" s="75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  <c r="BP645" s="38"/>
      <c r="BQ645" s="38"/>
      <c r="BR645" s="38"/>
      <c r="BS645" s="38"/>
      <c r="BT645" s="38"/>
      <c r="BU645" s="38"/>
      <c r="BV645" s="38"/>
    </row>
    <row r="646" ht="14.25" customHeight="1">
      <c r="A646" s="74"/>
      <c r="B646" s="38"/>
      <c r="C646" s="38"/>
      <c r="D646" s="38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38"/>
      <c r="AM646" s="38"/>
      <c r="AN646" s="75"/>
      <c r="AO646" s="75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  <c r="BP646" s="38"/>
      <c r="BQ646" s="38"/>
      <c r="BR646" s="38"/>
      <c r="BS646" s="38"/>
      <c r="BT646" s="38"/>
      <c r="BU646" s="38"/>
      <c r="BV646" s="38"/>
    </row>
    <row r="647" ht="14.25" customHeight="1">
      <c r="A647" s="74"/>
      <c r="B647" s="38"/>
      <c r="C647" s="38"/>
      <c r="D647" s="38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38"/>
      <c r="AM647" s="38"/>
      <c r="AN647" s="75"/>
      <c r="AO647" s="75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  <c r="BP647" s="38"/>
      <c r="BQ647" s="38"/>
      <c r="BR647" s="38"/>
      <c r="BS647" s="38"/>
      <c r="BT647" s="38"/>
      <c r="BU647" s="38"/>
      <c r="BV647" s="38"/>
    </row>
    <row r="648" ht="14.25" customHeight="1">
      <c r="A648" s="74"/>
      <c r="B648" s="38"/>
      <c r="C648" s="38"/>
      <c r="D648" s="38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38"/>
      <c r="AM648" s="38"/>
      <c r="AN648" s="75"/>
      <c r="AO648" s="75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  <c r="BP648" s="38"/>
      <c r="BQ648" s="38"/>
      <c r="BR648" s="38"/>
      <c r="BS648" s="38"/>
      <c r="BT648" s="38"/>
      <c r="BU648" s="38"/>
      <c r="BV648" s="38"/>
    </row>
    <row r="649" ht="14.25" customHeight="1">
      <c r="A649" s="74"/>
      <c r="B649" s="38"/>
      <c r="C649" s="38"/>
      <c r="D649" s="38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38"/>
      <c r="AM649" s="38"/>
      <c r="AN649" s="75"/>
      <c r="AO649" s="75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  <c r="BP649" s="38"/>
      <c r="BQ649" s="38"/>
      <c r="BR649" s="38"/>
      <c r="BS649" s="38"/>
      <c r="BT649" s="38"/>
      <c r="BU649" s="38"/>
      <c r="BV649" s="38"/>
    </row>
    <row r="650" ht="14.25" customHeight="1">
      <c r="A650" s="74"/>
      <c r="B650" s="38"/>
      <c r="C650" s="38"/>
      <c r="D650" s="38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38"/>
      <c r="AM650" s="38"/>
      <c r="AN650" s="75"/>
      <c r="AO650" s="75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  <c r="BP650" s="38"/>
      <c r="BQ650" s="38"/>
      <c r="BR650" s="38"/>
      <c r="BS650" s="38"/>
      <c r="BT650" s="38"/>
      <c r="BU650" s="38"/>
      <c r="BV650" s="38"/>
    </row>
    <row r="651" ht="14.25" customHeight="1">
      <c r="A651" s="74"/>
      <c r="B651" s="38"/>
      <c r="C651" s="38"/>
      <c r="D651" s="38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38"/>
      <c r="AM651" s="38"/>
      <c r="AN651" s="75"/>
      <c r="AO651" s="75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  <c r="BP651" s="38"/>
      <c r="BQ651" s="38"/>
      <c r="BR651" s="38"/>
      <c r="BS651" s="38"/>
      <c r="BT651" s="38"/>
      <c r="BU651" s="38"/>
      <c r="BV651" s="38"/>
    </row>
    <row r="652" ht="14.25" customHeight="1">
      <c r="A652" s="74"/>
      <c r="B652" s="38"/>
      <c r="C652" s="38"/>
      <c r="D652" s="38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38"/>
      <c r="AM652" s="38"/>
      <c r="AN652" s="75"/>
      <c r="AO652" s="75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  <c r="BP652" s="38"/>
      <c r="BQ652" s="38"/>
      <c r="BR652" s="38"/>
      <c r="BS652" s="38"/>
      <c r="BT652" s="38"/>
      <c r="BU652" s="38"/>
      <c r="BV652" s="38"/>
    </row>
    <row r="653" ht="14.25" customHeight="1">
      <c r="A653" s="74"/>
      <c r="B653" s="38"/>
      <c r="C653" s="38"/>
      <c r="D653" s="38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38"/>
      <c r="AM653" s="38"/>
      <c r="AN653" s="75"/>
      <c r="AO653" s="75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  <c r="BP653" s="38"/>
      <c r="BQ653" s="38"/>
      <c r="BR653" s="38"/>
      <c r="BS653" s="38"/>
      <c r="BT653" s="38"/>
      <c r="BU653" s="38"/>
      <c r="BV653" s="38"/>
    </row>
    <row r="654" ht="14.25" customHeight="1">
      <c r="A654" s="74"/>
      <c r="B654" s="38"/>
      <c r="C654" s="38"/>
      <c r="D654" s="38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38"/>
      <c r="AM654" s="38"/>
      <c r="AN654" s="75"/>
      <c r="AO654" s="75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  <c r="BP654" s="38"/>
      <c r="BQ654" s="38"/>
      <c r="BR654" s="38"/>
      <c r="BS654" s="38"/>
      <c r="BT654" s="38"/>
      <c r="BU654" s="38"/>
      <c r="BV654" s="38"/>
    </row>
    <row r="655" ht="14.25" customHeight="1">
      <c r="A655" s="74"/>
      <c r="B655" s="38"/>
      <c r="C655" s="38"/>
      <c r="D655" s="38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38"/>
      <c r="AM655" s="38"/>
      <c r="AN655" s="75"/>
      <c r="AO655" s="75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  <c r="BP655" s="38"/>
      <c r="BQ655" s="38"/>
      <c r="BR655" s="38"/>
      <c r="BS655" s="38"/>
      <c r="BT655" s="38"/>
      <c r="BU655" s="38"/>
      <c r="BV655" s="38"/>
    </row>
    <row r="656" ht="14.25" customHeight="1">
      <c r="A656" s="74"/>
      <c r="B656" s="38"/>
      <c r="C656" s="38"/>
      <c r="D656" s="38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38"/>
      <c r="AM656" s="38"/>
      <c r="AN656" s="75"/>
      <c r="AO656" s="75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  <c r="BP656" s="38"/>
      <c r="BQ656" s="38"/>
      <c r="BR656" s="38"/>
      <c r="BS656" s="38"/>
      <c r="BT656" s="38"/>
      <c r="BU656" s="38"/>
      <c r="BV656" s="38"/>
    </row>
    <row r="657" ht="14.25" customHeight="1">
      <c r="A657" s="74"/>
      <c r="B657" s="38"/>
      <c r="C657" s="38"/>
      <c r="D657" s="38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38"/>
      <c r="AM657" s="38"/>
      <c r="AN657" s="75"/>
      <c r="AO657" s="75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  <c r="BP657" s="38"/>
      <c r="BQ657" s="38"/>
      <c r="BR657" s="38"/>
      <c r="BS657" s="38"/>
      <c r="BT657" s="38"/>
      <c r="BU657" s="38"/>
      <c r="BV657" s="38"/>
    </row>
    <row r="658" ht="14.25" customHeight="1">
      <c r="A658" s="74"/>
      <c r="B658" s="38"/>
      <c r="C658" s="38"/>
      <c r="D658" s="38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38"/>
      <c r="AM658" s="38"/>
      <c r="AN658" s="75"/>
      <c r="AO658" s="75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  <c r="BP658" s="38"/>
      <c r="BQ658" s="38"/>
      <c r="BR658" s="38"/>
      <c r="BS658" s="38"/>
      <c r="BT658" s="38"/>
      <c r="BU658" s="38"/>
      <c r="BV658" s="38"/>
    </row>
    <row r="659" ht="14.25" customHeight="1">
      <c r="A659" s="74"/>
      <c r="B659" s="38"/>
      <c r="C659" s="38"/>
      <c r="D659" s="38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38"/>
      <c r="AM659" s="38"/>
      <c r="AN659" s="75"/>
      <c r="AO659" s="75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  <c r="BP659" s="38"/>
      <c r="BQ659" s="38"/>
      <c r="BR659" s="38"/>
      <c r="BS659" s="38"/>
      <c r="BT659" s="38"/>
      <c r="BU659" s="38"/>
      <c r="BV659" s="38"/>
    </row>
    <row r="660" ht="14.25" customHeight="1">
      <c r="A660" s="74"/>
      <c r="B660" s="38"/>
      <c r="C660" s="38"/>
      <c r="D660" s="38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38"/>
      <c r="AM660" s="38"/>
      <c r="AN660" s="75"/>
      <c r="AO660" s="75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  <c r="BP660" s="38"/>
      <c r="BQ660" s="38"/>
      <c r="BR660" s="38"/>
      <c r="BS660" s="38"/>
      <c r="BT660" s="38"/>
      <c r="BU660" s="38"/>
      <c r="BV660" s="38"/>
    </row>
    <row r="661" ht="14.25" customHeight="1">
      <c r="A661" s="74"/>
      <c r="B661" s="38"/>
      <c r="C661" s="38"/>
      <c r="D661" s="38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38"/>
      <c r="AM661" s="38"/>
      <c r="AN661" s="75"/>
      <c r="AO661" s="75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  <c r="BP661" s="38"/>
      <c r="BQ661" s="38"/>
      <c r="BR661" s="38"/>
      <c r="BS661" s="38"/>
      <c r="BT661" s="38"/>
      <c r="BU661" s="38"/>
      <c r="BV661" s="38"/>
    </row>
    <row r="662" ht="14.25" customHeight="1">
      <c r="A662" s="74"/>
      <c r="B662" s="38"/>
      <c r="C662" s="38"/>
      <c r="D662" s="38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38"/>
      <c r="AM662" s="38"/>
      <c r="AN662" s="75"/>
      <c r="AO662" s="75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  <c r="BP662" s="38"/>
      <c r="BQ662" s="38"/>
      <c r="BR662" s="38"/>
      <c r="BS662" s="38"/>
      <c r="BT662" s="38"/>
      <c r="BU662" s="38"/>
      <c r="BV662" s="38"/>
    </row>
    <row r="663" ht="14.25" customHeight="1">
      <c r="A663" s="74"/>
      <c r="B663" s="38"/>
      <c r="C663" s="38"/>
      <c r="D663" s="38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38"/>
      <c r="AM663" s="38"/>
      <c r="AN663" s="75"/>
      <c r="AO663" s="75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  <c r="BP663" s="38"/>
      <c r="BQ663" s="38"/>
      <c r="BR663" s="38"/>
      <c r="BS663" s="38"/>
      <c r="BT663" s="38"/>
      <c r="BU663" s="38"/>
      <c r="BV663" s="38"/>
    </row>
    <row r="664" ht="14.25" customHeight="1">
      <c r="A664" s="74"/>
      <c r="B664" s="38"/>
      <c r="C664" s="38"/>
      <c r="D664" s="38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38"/>
      <c r="AM664" s="38"/>
      <c r="AN664" s="75"/>
      <c r="AO664" s="75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  <c r="BP664" s="38"/>
      <c r="BQ664" s="38"/>
      <c r="BR664" s="38"/>
      <c r="BS664" s="38"/>
      <c r="BT664" s="38"/>
      <c r="BU664" s="38"/>
      <c r="BV664" s="38"/>
    </row>
    <row r="665" ht="14.25" customHeight="1">
      <c r="A665" s="74"/>
      <c r="B665" s="38"/>
      <c r="C665" s="38"/>
      <c r="D665" s="38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38"/>
      <c r="AM665" s="38"/>
      <c r="AN665" s="75"/>
      <c r="AO665" s="75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  <c r="BP665" s="38"/>
      <c r="BQ665" s="38"/>
      <c r="BR665" s="38"/>
      <c r="BS665" s="38"/>
      <c r="BT665" s="38"/>
      <c r="BU665" s="38"/>
      <c r="BV665" s="38"/>
    </row>
    <row r="666" ht="14.25" customHeight="1">
      <c r="A666" s="74"/>
      <c r="B666" s="38"/>
      <c r="C666" s="38"/>
      <c r="D666" s="38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38"/>
      <c r="AM666" s="38"/>
      <c r="AN666" s="75"/>
      <c r="AO666" s="75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  <c r="BP666" s="38"/>
      <c r="BQ666" s="38"/>
      <c r="BR666" s="38"/>
      <c r="BS666" s="38"/>
      <c r="BT666" s="38"/>
      <c r="BU666" s="38"/>
      <c r="BV666" s="38"/>
    </row>
    <row r="667" ht="14.25" customHeight="1">
      <c r="A667" s="74"/>
      <c r="B667" s="38"/>
      <c r="C667" s="38"/>
      <c r="D667" s="38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38"/>
      <c r="AM667" s="38"/>
      <c r="AN667" s="75"/>
      <c r="AO667" s="75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  <c r="BP667" s="38"/>
      <c r="BQ667" s="38"/>
      <c r="BR667" s="38"/>
      <c r="BS667" s="38"/>
      <c r="BT667" s="38"/>
      <c r="BU667" s="38"/>
      <c r="BV667" s="38"/>
    </row>
    <row r="668" ht="14.25" customHeight="1">
      <c r="A668" s="74"/>
      <c r="B668" s="38"/>
      <c r="C668" s="38"/>
      <c r="D668" s="38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38"/>
      <c r="AM668" s="38"/>
      <c r="AN668" s="75"/>
      <c r="AO668" s="75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  <c r="BP668" s="38"/>
      <c r="BQ668" s="38"/>
      <c r="BR668" s="38"/>
      <c r="BS668" s="38"/>
      <c r="BT668" s="38"/>
      <c r="BU668" s="38"/>
      <c r="BV668" s="38"/>
    </row>
    <row r="669" ht="14.25" customHeight="1">
      <c r="A669" s="74"/>
      <c r="B669" s="38"/>
      <c r="C669" s="38"/>
      <c r="D669" s="38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38"/>
      <c r="AM669" s="38"/>
      <c r="AN669" s="75"/>
      <c r="AO669" s="75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  <c r="BP669" s="38"/>
      <c r="BQ669" s="38"/>
      <c r="BR669" s="38"/>
      <c r="BS669" s="38"/>
      <c r="BT669" s="38"/>
      <c r="BU669" s="38"/>
      <c r="BV669" s="38"/>
    </row>
    <row r="670" ht="14.25" customHeight="1">
      <c r="A670" s="74"/>
      <c r="B670" s="38"/>
      <c r="C670" s="38"/>
      <c r="D670" s="38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38"/>
      <c r="AM670" s="38"/>
      <c r="AN670" s="75"/>
      <c r="AO670" s="75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  <c r="BP670" s="38"/>
      <c r="BQ670" s="38"/>
      <c r="BR670" s="38"/>
      <c r="BS670" s="38"/>
      <c r="BT670" s="38"/>
      <c r="BU670" s="38"/>
      <c r="BV670" s="38"/>
    </row>
    <row r="671" ht="14.25" customHeight="1">
      <c r="A671" s="74"/>
      <c r="B671" s="38"/>
      <c r="C671" s="38"/>
      <c r="D671" s="38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38"/>
      <c r="AM671" s="38"/>
      <c r="AN671" s="75"/>
      <c r="AO671" s="75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  <c r="BP671" s="38"/>
      <c r="BQ671" s="38"/>
      <c r="BR671" s="38"/>
      <c r="BS671" s="38"/>
      <c r="BT671" s="38"/>
      <c r="BU671" s="38"/>
      <c r="BV671" s="38"/>
    </row>
    <row r="672" ht="14.25" customHeight="1">
      <c r="A672" s="74"/>
      <c r="B672" s="38"/>
      <c r="C672" s="38"/>
      <c r="D672" s="38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38"/>
      <c r="AM672" s="38"/>
      <c r="AN672" s="75"/>
      <c r="AO672" s="75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  <c r="BP672" s="38"/>
      <c r="BQ672" s="38"/>
      <c r="BR672" s="38"/>
      <c r="BS672" s="38"/>
      <c r="BT672" s="38"/>
      <c r="BU672" s="38"/>
      <c r="BV672" s="38"/>
    </row>
    <row r="673" ht="14.25" customHeight="1">
      <c r="A673" s="74"/>
      <c r="B673" s="38"/>
      <c r="C673" s="38"/>
      <c r="D673" s="38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38"/>
      <c r="AM673" s="38"/>
      <c r="AN673" s="75"/>
      <c r="AO673" s="75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  <c r="BP673" s="38"/>
      <c r="BQ673" s="38"/>
      <c r="BR673" s="38"/>
      <c r="BS673" s="38"/>
      <c r="BT673" s="38"/>
      <c r="BU673" s="38"/>
      <c r="BV673" s="38"/>
    </row>
    <row r="674" ht="14.25" customHeight="1">
      <c r="A674" s="74"/>
      <c r="B674" s="38"/>
      <c r="C674" s="38"/>
      <c r="D674" s="38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38"/>
      <c r="AM674" s="38"/>
      <c r="AN674" s="75"/>
      <c r="AO674" s="75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  <c r="BP674" s="38"/>
      <c r="BQ674" s="38"/>
      <c r="BR674" s="38"/>
      <c r="BS674" s="38"/>
      <c r="BT674" s="38"/>
      <c r="BU674" s="38"/>
      <c r="BV674" s="38"/>
    </row>
    <row r="675" ht="14.25" customHeight="1">
      <c r="A675" s="74"/>
      <c r="B675" s="38"/>
      <c r="C675" s="38"/>
      <c r="D675" s="38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38"/>
      <c r="AM675" s="38"/>
      <c r="AN675" s="75"/>
      <c r="AO675" s="75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  <c r="BP675" s="38"/>
      <c r="BQ675" s="38"/>
      <c r="BR675" s="38"/>
      <c r="BS675" s="38"/>
      <c r="BT675" s="38"/>
      <c r="BU675" s="38"/>
      <c r="BV675" s="38"/>
    </row>
    <row r="676" ht="14.25" customHeight="1">
      <c r="A676" s="74"/>
      <c r="B676" s="38"/>
      <c r="C676" s="38"/>
      <c r="D676" s="38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38"/>
      <c r="AM676" s="38"/>
      <c r="AN676" s="75"/>
      <c r="AO676" s="75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  <c r="BP676" s="38"/>
      <c r="BQ676" s="38"/>
      <c r="BR676" s="38"/>
      <c r="BS676" s="38"/>
      <c r="BT676" s="38"/>
      <c r="BU676" s="38"/>
      <c r="BV676" s="38"/>
    </row>
    <row r="677" ht="14.25" customHeight="1">
      <c r="A677" s="74"/>
      <c r="B677" s="38"/>
      <c r="C677" s="38"/>
      <c r="D677" s="38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38"/>
      <c r="AM677" s="38"/>
      <c r="AN677" s="75"/>
      <c r="AO677" s="75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  <c r="BP677" s="38"/>
      <c r="BQ677" s="38"/>
      <c r="BR677" s="38"/>
      <c r="BS677" s="38"/>
      <c r="BT677" s="38"/>
      <c r="BU677" s="38"/>
      <c r="BV677" s="38"/>
    </row>
    <row r="678" ht="14.25" customHeight="1">
      <c r="A678" s="74"/>
      <c r="B678" s="38"/>
      <c r="C678" s="38"/>
      <c r="D678" s="38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38"/>
      <c r="AM678" s="38"/>
      <c r="AN678" s="75"/>
      <c r="AO678" s="75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  <c r="BP678" s="38"/>
      <c r="BQ678" s="38"/>
      <c r="BR678" s="38"/>
      <c r="BS678" s="38"/>
      <c r="BT678" s="38"/>
      <c r="BU678" s="38"/>
      <c r="BV678" s="38"/>
    </row>
    <row r="679" ht="14.25" customHeight="1">
      <c r="A679" s="74"/>
      <c r="B679" s="38"/>
      <c r="C679" s="38"/>
      <c r="D679" s="38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38"/>
      <c r="AM679" s="38"/>
      <c r="AN679" s="75"/>
      <c r="AO679" s="75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  <c r="BP679" s="38"/>
      <c r="BQ679" s="38"/>
      <c r="BR679" s="38"/>
      <c r="BS679" s="38"/>
      <c r="BT679" s="38"/>
      <c r="BU679" s="38"/>
      <c r="BV679" s="38"/>
    </row>
    <row r="680" ht="14.25" customHeight="1">
      <c r="A680" s="74"/>
      <c r="B680" s="38"/>
      <c r="C680" s="38"/>
      <c r="D680" s="38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38"/>
      <c r="AM680" s="38"/>
      <c r="AN680" s="75"/>
      <c r="AO680" s="75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  <c r="BP680" s="38"/>
      <c r="BQ680" s="38"/>
      <c r="BR680" s="38"/>
      <c r="BS680" s="38"/>
      <c r="BT680" s="38"/>
      <c r="BU680" s="38"/>
      <c r="BV680" s="38"/>
    </row>
    <row r="681" ht="14.25" customHeight="1">
      <c r="A681" s="74"/>
      <c r="B681" s="38"/>
      <c r="C681" s="38"/>
      <c r="D681" s="38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38"/>
      <c r="AM681" s="38"/>
      <c r="AN681" s="75"/>
      <c r="AO681" s="75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  <c r="BP681" s="38"/>
      <c r="BQ681" s="38"/>
      <c r="BR681" s="38"/>
      <c r="BS681" s="38"/>
      <c r="BT681" s="38"/>
      <c r="BU681" s="38"/>
      <c r="BV681" s="38"/>
    </row>
    <row r="682" ht="14.25" customHeight="1">
      <c r="A682" s="74"/>
      <c r="B682" s="38"/>
      <c r="C682" s="38"/>
      <c r="D682" s="38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38"/>
      <c r="AM682" s="38"/>
      <c r="AN682" s="75"/>
      <c r="AO682" s="75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  <c r="BP682" s="38"/>
      <c r="BQ682" s="38"/>
      <c r="BR682" s="38"/>
      <c r="BS682" s="38"/>
      <c r="BT682" s="38"/>
      <c r="BU682" s="38"/>
      <c r="BV682" s="38"/>
    </row>
    <row r="683" ht="14.25" customHeight="1">
      <c r="A683" s="74"/>
      <c r="B683" s="38"/>
      <c r="C683" s="38"/>
      <c r="D683" s="38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38"/>
      <c r="AM683" s="38"/>
      <c r="AN683" s="75"/>
      <c r="AO683" s="75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  <c r="BP683" s="38"/>
      <c r="BQ683" s="38"/>
      <c r="BR683" s="38"/>
      <c r="BS683" s="38"/>
      <c r="BT683" s="38"/>
      <c r="BU683" s="38"/>
      <c r="BV683" s="38"/>
    </row>
    <row r="684" ht="14.25" customHeight="1">
      <c r="A684" s="74"/>
      <c r="B684" s="38"/>
      <c r="C684" s="38"/>
      <c r="D684" s="38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38"/>
      <c r="AM684" s="38"/>
      <c r="AN684" s="75"/>
      <c r="AO684" s="75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  <c r="BP684" s="38"/>
      <c r="BQ684" s="38"/>
      <c r="BR684" s="38"/>
      <c r="BS684" s="38"/>
      <c r="BT684" s="38"/>
      <c r="BU684" s="38"/>
      <c r="BV684" s="38"/>
    </row>
    <row r="685" ht="14.25" customHeight="1">
      <c r="A685" s="74"/>
      <c r="B685" s="38"/>
      <c r="C685" s="38"/>
      <c r="D685" s="38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38"/>
      <c r="AM685" s="38"/>
      <c r="AN685" s="75"/>
      <c r="AO685" s="75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38"/>
      <c r="BS685" s="38"/>
      <c r="BT685" s="38"/>
      <c r="BU685" s="38"/>
      <c r="BV685" s="38"/>
    </row>
    <row r="686" ht="14.25" customHeight="1">
      <c r="A686" s="74"/>
      <c r="B686" s="38"/>
      <c r="C686" s="38"/>
      <c r="D686" s="38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38"/>
      <c r="AM686" s="38"/>
      <c r="AN686" s="75"/>
      <c r="AO686" s="75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  <c r="BP686" s="38"/>
      <c r="BQ686" s="38"/>
      <c r="BR686" s="38"/>
      <c r="BS686" s="38"/>
      <c r="BT686" s="38"/>
      <c r="BU686" s="38"/>
      <c r="BV686" s="38"/>
    </row>
    <row r="687" ht="14.25" customHeight="1">
      <c r="A687" s="74"/>
      <c r="B687" s="38"/>
      <c r="C687" s="38"/>
      <c r="D687" s="38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38"/>
      <c r="AM687" s="38"/>
      <c r="AN687" s="75"/>
      <c r="AO687" s="75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  <c r="BP687" s="38"/>
      <c r="BQ687" s="38"/>
      <c r="BR687" s="38"/>
      <c r="BS687" s="38"/>
      <c r="BT687" s="38"/>
      <c r="BU687" s="38"/>
      <c r="BV687" s="38"/>
    </row>
    <row r="688" ht="14.25" customHeight="1">
      <c r="A688" s="74"/>
      <c r="B688" s="38"/>
      <c r="C688" s="38"/>
      <c r="D688" s="38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38"/>
      <c r="AM688" s="38"/>
      <c r="AN688" s="75"/>
      <c r="AO688" s="75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  <c r="BP688" s="38"/>
      <c r="BQ688" s="38"/>
      <c r="BR688" s="38"/>
      <c r="BS688" s="38"/>
      <c r="BT688" s="38"/>
      <c r="BU688" s="38"/>
      <c r="BV688" s="38"/>
    </row>
    <row r="689" ht="14.25" customHeight="1">
      <c r="A689" s="74"/>
      <c r="B689" s="38"/>
      <c r="C689" s="38"/>
      <c r="D689" s="38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38"/>
      <c r="AM689" s="38"/>
      <c r="AN689" s="75"/>
      <c r="AO689" s="75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  <c r="BP689" s="38"/>
      <c r="BQ689" s="38"/>
      <c r="BR689" s="38"/>
      <c r="BS689" s="38"/>
      <c r="BT689" s="38"/>
      <c r="BU689" s="38"/>
      <c r="BV689" s="38"/>
    </row>
    <row r="690" ht="14.25" customHeight="1">
      <c r="A690" s="74"/>
      <c r="B690" s="38"/>
      <c r="C690" s="38"/>
      <c r="D690" s="38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38"/>
      <c r="AM690" s="38"/>
      <c r="AN690" s="75"/>
      <c r="AO690" s="75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  <c r="BP690" s="38"/>
      <c r="BQ690" s="38"/>
      <c r="BR690" s="38"/>
      <c r="BS690" s="38"/>
      <c r="BT690" s="38"/>
      <c r="BU690" s="38"/>
      <c r="BV690" s="38"/>
    </row>
    <row r="691" ht="14.25" customHeight="1">
      <c r="A691" s="74"/>
      <c r="B691" s="38"/>
      <c r="C691" s="38"/>
      <c r="D691" s="38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38"/>
      <c r="AM691" s="38"/>
      <c r="AN691" s="75"/>
      <c r="AO691" s="75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  <c r="BP691" s="38"/>
      <c r="BQ691" s="38"/>
      <c r="BR691" s="38"/>
      <c r="BS691" s="38"/>
      <c r="BT691" s="38"/>
      <c r="BU691" s="38"/>
      <c r="BV691" s="38"/>
    </row>
    <row r="692" ht="14.25" customHeight="1">
      <c r="A692" s="74"/>
      <c r="B692" s="38"/>
      <c r="C692" s="38"/>
      <c r="D692" s="38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38"/>
      <c r="AM692" s="38"/>
      <c r="AN692" s="75"/>
      <c r="AO692" s="75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  <c r="BQ692" s="38"/>
      <c r="BR692" s="38"/>
      <c r="BS692" s="38"/>
      <c r="BT692" s="38"/>
      <c r="BU692" s="38"/>
      <c r="BV692" s="38"/>
    </row>
    <row r="693" ht="14.25" customHeight="1">
      <c r="A693" s="74"/>
      <c r="B693" s="38"/>
      <c r="C693" s="38"/>
      <c r="D693" s="38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38"/>
      <c r="AM693" s="38"/>
      <c r="AN693" s="75"/>
      <c r="AO693" s="75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  <c r="BQ693" s="38"/>
      <c r="BR693" s="38"/>
      <c r="BS693" s="38"/>
      <c r="BT693" s="38"/>
      <c r="BU693" s="38"/>
      <c r="BV693" s="38"/>
    </row>
    <row r="694" ht="14.25" customHeight="1">
      <c r="A694" s="74"/>
      <c r="B694" s="38"/>
      <c r="C694" s="38"/>
      <c r="D694" s="38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38"/>
      <c r="AM694" s="38"/>
      <c r="AN694" s="75"/>
      <c r="AO694" s="75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  <c r="BQ694" s="38"/>
      <c r="BR694" s="38"/>
      <c r="BS694" s="38"/>
      <c r="BT694" s="38"/>
      <c r="BU694" s="38"/>
      <c r="BV694" s="38"/>
    </row>
    <row r="695" ht="14.25" customHeight="1">
      <c r="A695" s="74"/>
      <c r="B695" s="38"/>
      <c r="C695" s="38"/>
      <c r="D695" s="38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38"/>
      <c r="AM695" s="38"/>
      <c r="AN695" s="75"/>
      <c r="AO695" s="75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  <c r="BP695" s="38"/>
      <c r="BQ695" s="38"/>
      <c r="BR695" s="38"/>
      <c r="BS695" s="38"/>
      <c r="BT695" s="38"/>
      <c r="BU695" s="38"/>
      <c r="BV695" s="38"/>
    </row>
    <row r="696" ht="14.25" customHeight="1">
      <c r="A696" s="74"/>
      <c r="B696" s="38"/>
      <c r="C696" s="38"/>
      <c r="D696" s="38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38"/>
      <c r="AM696" s="38"/>
      <c r="AN696" s="75"/>
      <c r="AO696" s="75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  <c r="BP696" s="38"/>
      <c r="BQ696" s="38"/>
      <c r="BR696" s="38"/>
      <c r="BS696" s="38"/>
      <c r="BT696" s="38"/>
      <c r="BU696" s="38"/>
      <c r="BV696" s="38"/>
    </row>
    <row r="697" ht="14.25" customHeight="1">
      <c r="A697" s="74"/>
      <c r="B697" s="38"/>
      <c r="C697" s="38"/>
      <c r="D697" s="38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38"/>
      <c r="AM697" s="38"/>
      <c r="AN697" s="75"/>
      <c r="AO697" s="75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38"/>
      <c r="BS697" s="38"/>
      <c r="BT697" s="38"/>
      <c r="BU697" s="38"/>
      <c r="BV697" s="38"/>
    </row>
    <row r="698" ht="14.25" customHeight="1">
      <c r="A698" s="74"/>
      <c r="B698" s="38"/>
      <c r="C698" s="38"/>
      <c r="D698" s="38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38"/>
      <c r="AM698" s="38"/>
      <c r="AN698" s="75"/>
      <c r="AO698" s="75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38"/>
      <c r="BS698" s="38"/>
      <c r="BT698" s="38"/>
      <c r="BU698" s="38"/>
      <c r="BV698" s="38"/>
    </row>
    <row r="699" ht="14.25" customHeight="1">
      <c r="A699" s="74"/>
      <c r="B699" s="38"/>
      <c r="C699" s="38"/>
      <c r="D699" s="38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38"/>
      <c r="AM699" s="38"/>
      <c r="AN699" s="75"/>
      <c r="AO699" s="75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  <c r="BP699" s="38"/>
      <c r="BQ699" s="38"/>
      <c r="BR699" s="38"/>
      <c r="BS699" s="38"/>
      <c r="BT699" s="38"/>
      <c r="BU699" s="38"/>
      <c r="BV699" s="38"/>
    </row>
    <row r="700" ht="14.25" customHeight="1">
      <c r="A700" s="74"/>
      <c r="B700" s="38"/>
      <c r="C700" s="38"/>
      <c r="D700" s="38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38"/>
      <c r="AM700" s="38"/>
      <c r="AN700" s="75"/>
      <c r="AO700" s="75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  <c r="BQ700" s="38"/>
      <c r="BR700" s="38"/>
      <c r="BS700" s="38"/>
      <c r="BT700" s="38"/>
      <c r="BU700" s="38"/>
      <c r="BV700" s="38"/>
    </row>
    <row r="701" ht="14.25" customHeight="1">
      <c r="A701" s="74"/>
      <c r="B701" s="38"/>
      <c r="C701" s="38"/>
      <c r="D701" s="38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38"/>
      <c r="AM701" s="38"/>
      <c r="AN701" s="75"/>
      <c r="AO701" s="75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  <c r="BP701" s="38"/>
      <c r="BQ701" s="38"/>
      <c r="BR701" s="38"/>
      <c r="BS701" s="38"/>
      <c r="BT701" s="38"/>
      <c r="BU701" s="38"/>
      <c r="BV701" s="38"/>
    </row>
    <row r="702" ht="14.25" customHeight="1">
      <c r="A702" s="74"/>
      <c r="B702" s="38"/>
      <c r="C702" s="38"/>
      <c r="D702" s="38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38"/>
      <c r="AM702" s="38"/>
      <c r="AN702" s="75"/>
      <c r="AO702" s="75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  <c r="BQ702" s="38"/>
      <c r="BR702" s="38"/>
      <c r="BS702" s="38"/>
      <c r="BT702" s="38"/>
      <c r="BU702" s="38"/>
      <c r="BV702" s="38"/>
    </row>
    <row r="703" ht="14.25" customHeight="1">
      <c r="A703" s="74"/>
      <c r="B703" s="38"/>
      <c r="C703" s="38"/>
      <c r="D703" s="38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38"/>
      <c r="AM703" s="38"/>
      <c r="AN703" s="75"/>
      <c r="AO703" s="75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38"/>
      <c r="BS703" s="38"/>
      <c r="BT703" s="38"/>
      <c r="BU703" s="38"/>
      <c r="BV703" s="38"/>
    </row>
    <row r="704" ht="14.25" customHeight="1">
      <c r="A704" s="74"/>
      <c r="B704" s="38"/>
      <c r="C704" s="38"/>
      <c r="D704" s="38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38"/>
      <c r="AM704" s="38"/>
      <c r="AN704" s="75"/>
      <c r="AO704" s="75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  <c r="BP704" s="38"/>
      <c r="BQ704" s="38"/>
      <c r="BR704" s="38"/>
      <c r="BS704" s="38"/>
      <c r="BT704" s="38"/>
      <c r="BU704" s="38"/>
      <c r="BV704" s="38"/>
    </row>
    <row r="705" ht="14.25" customHeight="1">
      <c r="A705" s="74"/>
      <c r="B705" s="38"/>
      <c r="C705" s="38"/>
      <c r="D705" s="38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38"/>
      <c r="AM705" s="38"/>
      <c r="AN705" s="75"/>
      <c r="AO705" s="75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  <c r="BP705" s="38"/>
      <c r="BQ705" s="38"/>
      <c r="BR705" s="38"/>
      <c r="BS705" s="38"/>
      <c r="BT705" s="38"/>
      <c r="BU705" s="38"/>
      <c r="BV705" s="38"/>
    </row>
    <row r="706" ht="14.25" customHeight="1">
      <c r="A706" s="74"/>
      <c r="B706" s="38"/>
      <c r="C706" s="38"/>
      <c r="D706" s="38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38"/>
      <c r="AM706" s="38"/>
      <c r="AN706" s="75"/>
      <c r="AO706" s="75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  <c r="BQ706" s="38"/>
      <c r="BR706" s="38"/>
      <c r="BS706" s="38"/>
      <c r="BT706" s="38"/>
      <c r="BU706" s="38"/>
      <c r="BV706" s="38"/>
    </row>
    <row r="707" ht="14.25" customHeight="1">
      <c r="A707" s="74"/>
      <c r="B707" s="38"/>
      <c r="C707" s="38"/>
      <c r="D707" s="38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38"/>
      <c r="AM707" s="38"/>
      <c r="AN707" s="75"/>
      <c r="AO707" s="75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  <c r="BQ707" s="38"/>
      <c r="BR707" s="38"/>
      <c r="BS707" s="38"/>
      <c r="BT707" s="38"/>
      <c r="BU707" s="38"/>
      <c r="BV707" s="38"/>
    </row>
    <row r="708" ht="14.25" customHeight="1">
      <c r="A708" s="74"/>
      <c r="B708" s="38"/>
      <c r="C708" s="38"/>
      <c r="D708" s="38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38"/>
      <c r="AM708" s="38"/>
      <c r="AN708" s="75"/>
      <c r="AO708" s="75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  <c r="BP708" s="38"/>
      <c r="BQ708" s="38"/>
      <c r="BR708" s="38"/>
      <c r="BS708" s="38"/>
      <c r="BT708" s="38"/>
      <c r="BU708" s="38"/>
      <c r="BV708" s="38"/>
    </row>
    <row r="709" ht="14.25" customHeight="1">
      <c r="A709" s="74"/>
      <c r="B709" s="38"/>
      <c r="C709" s="38"/>
      <c r="D709" s="38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38"/>
      <c r="AM709" s="38"/>
      <c r="AN709" s="75"/>
      <c r="AO709" s="75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  <c r="BP709" s="38"/>
      <c r="BQ709" s="38"/>
      <c r="BR709" s="38"/>
      <c r="BS709" s="38"/>
      <c r="BT709" s="38"/>
      <c r="BU709" s="38"/>
      <c r="BV709" s="38"/>
    </row>
    <row r="710" ht="14.25" customHeight="1">
      <c r="A710" s="74"/>
      <c r="B710" s="38"/>
      <c r="C710" s="38"/>
      <c r="D710" s="38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38"/>
      <c r="AM710" s="38"/>
      <c r="AN710" s="75"/>
      <c r="AO710" s="75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  <c r="BP710" s="38"/>
      <c r="BQ710" s="38"/>
      <c r="BR710" s="38"/>
      <c r="BS710" s="38"/>
      <c r="BT710" s="38"/>
      <c r="BU710" s="38"/>
      <c r="BV710" s="38"/>
    </row>
    <row r="711" ht="14.25" customHeight="1">
      <c r="A711" s="74"/>
      <c r="B711" s="38"/>
      <c r="C711" s="38"/>
      <c r="D711" s="38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38"/>
      <c r="AM711" s="38"/>
      <c r="AN711" s="75"/>
      <c r="AO711" s="75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  <c r="BP711" s="38"/>
      <c r="BQ711" s="38"/>
      <c r="BR711" s="38"/>
      <c r="BS711" s="38"/>
      <c r="BT711" s="38"/>
      <c r="BU711" s="38"/>
      <c r="BV711" s="38"/>
    </row>
    <row r="712" ht="14.25" customHeight="1">
      <c r="A712" s="74"/>
      <c r="B712" s="38"/>
      <c r="C712" s="38"/>
      <c r="D712" s="38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38"/>
      <c r="AM712" s="38"/>
      <c r="AN712" s="75"/>
      <c r="AO712" s="75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  <c r="BP712" s="38"/>
      <c r="BQ712" s="38"/>
      <c r="BR712" s="38"/>
      <c r="BS712" s="38"/>
      <c r="BT712" s="38"/>
      <c r="BU712" s="38"/>
      <c r="BV712" s="38"/>
    </row>
    <row r="713" ht="14.25" customHeight="1">
      <c r="A713" s="74"/>
      <c r="B713" s="38"/>
      <c r="C713" s="38"/>
      <c r="D713" s="38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38"/>
      <c r="AM713" s="38"/>
      <c r="AN713" s="75"/>
      <c r="AO713" s="75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  <c r="BP713" s="38"/>
      <c r="BQ713" s="38"/>
      <c r="BR713" s="38"/>
      <c r="BS713" s="38"/>
      <c r="BT713" s="38"/>
      <c r="BU713" s="38"/>
      <c r="BV713" s="38"/>
    </row>
    <row r="714" ht="14.25" customHeight="1">
      <c r="A714" s="74"/>
      <c r="B714" s="38"/>
      <c r="C714" s="38"/>
      <c r="D714" s="38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38"/>
      <c r="AM714" s="38"/>
      <c r="AN714" s="75"/>
      <c r="AO714" s="75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  <c r="BP714" s="38"/>
      <c r="BQ714" s="38"/>
      <c r="BR714" s="38"/>
      <c r="BS714" s="38"/>
      <c r="BT714" s="38"/>
      <c r="BU714" s="38"/>
      <c r="BV714" s="38"/>
    </row>
    <row r="715" ht="14.25" customHeight="1">
      <c r="A715" s="74"/>
      <c r="B715" s="38"/>
      <c r="C715" s="38"/>
      <c r="D715" s="38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38"/>
      <c r="AM715" s="38"/>
      <c r="AN715" s="75"/>
      <c r="AO715" s="75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  <c r="BP715" s="38"/>
      <c r="BQ715" s="38"/>
      <c r="BR715" s="38"/>
      <c r="BS715" s="38"/>
      <c r="BT715" s="38"/>
      <c r="BU715" s="38"/>
      <c r="BV715" s="38"/>
    </row>
    <row r="716" ht="14.25" customHeight="1">
      <c r="A716" s="74"/>
      <c r="B716" s="38"/>
      <c r="C716" s="38"/>
      <c r="D716" s="38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38"/>
      <c r="AM716" s="38"/>
      <c r="AN716" s="75"/>
      <c r="AO716" s="75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  <c r="BP716" s="38"/>
      <c r="BQ716" s="38"/>
      <c r="BR716" s="38"/>
      <c r="BS716" s="38"/>
      <c r="BT716" s="38"/>
      <c r="BU716" s="38"/>
      <c r="BV716" s="38"/>
    </row>
    <row r="717" ht="14.25" customHeight="1">
      <c r="A717" s="74"/>
      <c r="B717" s="38"/>
      <c r="C717" s="38"/>
      <c r="D717" s="38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38"/>
      <c r="AM717" s="38"/>
      <c r="AN717" s="75"/>
      <c r="AO717" s="75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  <c r="BP717" s="38"/>
      <c r="BQ717" s="38"/>
      <c r="BR717" s="38"/>
      <c r="BS717" s="38"/>
      <c r="BT717" s="38"/>
      <c r="BU717" s="38"/>
      <c r="BV717" s="38"/>
    </row>
    <row r="718" ht="14.25" customHeight="1">
      <c r="A718" s="74"/>
      <c r="B718" s="38"/>
      <c r="C718" s="38"/>
      <c r="D718" s="38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38"/>
      <c r="AM718" s="38"/>
      <c r="AN718" s="75"/>
      <c r="AO718" s="75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  <c r="BP718" s="38"/>
      <c r="BQ718" s="38"/>
      <c r="BR718" s="38"/>
      <c r="BS718" s="38"/>
      <c r="BT718" s="38"/>
      <c r="BU718" s="38"/>
      <c r="BV718" s="38"/>
    </row>
    <row r="719" ht="14.25" customHeight="1">
      <c r="A719" s="74"/>
      <c r="B719" s="38"/>
      <c r="C719" s="38"/>
      <c r="D719" s="38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38"/>
      <c r="AM719" s="38"/>
      <c r="AN719" s="75"/>
      <c r="AO719" s="75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  <c r="BP719" s="38"/>
      <c r="BQ719" s="38"/>
      <c r="BR719" s="38"/>
      <c r="BS719" s="38"/>
      <c r="BT719" s="38"/>
      <c r="BU719" s="38"/>
      <c r="BV719" s="38"/>
    </row>
    <row r="720" ht="14.25" customHeight="1">
      <c r="A720" s="74"/>
      <c r="B720" s="38"/>
      <c r="C720" s="38"/>
      <c r="D720" s="38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38"/>
      <c r="AM720" s="38"/>
      <c r="AN720" s="75"/>
      <c r="AO720" s="75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  <c r="BP720" s="38"/>
      <c r="BQ720" s="38"/>
      <c r="BR720" s="38"/>
      <c r="BS720" s="38"/>
      <c r="BT720" s="38"/>
      <c r="BU720" s="38"/>
      <c r="BV720" s="38"/>
    </row>
    <row r="721" ht="14.25" customHeight="1">
      <c r="A721" s="74"/>
      <c r="B721" s="38"/>
      <c r="C721" s="38"/>
      <c r="D721" s="38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38"/>
      <c r="AM721" s="38"/>
      <c r="AN721" s="75"/>
      <c r="AO721" s="75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  <c r="BP721" s="38"/>
      <c r="BQ721" s="38"/>
      <c r="BR721" s="38"/>
      <c r="BS721" s="38"/>
      <c r="BT721" s="38"/>
      <c r="BU721" s="38"/>
      <c r="BV721" s="38"/>
    </row>
    <row r="722" ht="14.25" customHeight="1">
      <c r="A722" s="74"/>
      <c r="B722" s="38"/>
      <c r="C722" s="38"/>
      <c r="D722" s="38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38"/>
      <c r="AM722" s="38"/>
      <c r="AN722" s="75"/>
      <c r="AO722" s="75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  <c r="BP722" s="38"/>
      <c r="BQ722" s="38"/>
      <c r="BR722" s="38"/>
      <c r="BS722" s="38"/>
      <c r="BT722" s="38"/>
      <c r="BU722" s="38"/>
      <c r="BV722" s="38"/>
    </row>
    <row r="723" ht="14.25" customHeight="1">
      <c r="A723" s="74"/>
      <c r="B723" s="38"/>
      <c r="C723" s="38"/>
      <c r="D723" s="38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38"/>
      <c r="AM723" s="38"/>
      <c r="AN723" s="75"/>
      <c r="AO723" s="75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  <c r="BP723" s="38"/>
      <c r="BQ723" s="38"/>
      <c r="BR723" s="38"/>
      <c r="BS723" s="38"/>
      <c r="BT723" s="38"/>
      <c r="BU723" s="38"/>
      <c r="BV723" s="38"/>
    </row>
    <row r="724" ht="14.25" customHeight="1">
      <c r="A724" s="74"/>
      <c r="B724" s="38"/>
      <c r="C724" s="38"/>
      <c r="D724" s="38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38"/>
      <c r="AM724" s="38"/>
      <c r="AN724" s="75"/>
      <c r="AO724" s="75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  <c r="BP724" s="38"/>
      <c r="BQ724" s="38"/>
      <c r="BR724" s="38"/>
      <c r="BS724" s="38"/>
      <c r="BT724" s="38"/>
      <c r="BU724" s="38"/>
      <c r="BV724" s="38"/>
    </row>
    <row r="725" ht="14.25" customHeight="1">
      <c r="A725" s="74"/>
      <c r="B725" s="38"/>
      <c r="C725" s="38"/>
      <c r="D725" s="38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38"/>
      <c r="AM725" s="38"/>
      <c r="AN725" s="75"/>
      <c r="AO725" s="75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  <c r="BP725" s="38"/>
      <c r="BQ725" s="38"/>
      <c r="BR725" s="38"/>
      <c r="BS725" s="38"/>
      <c r="BT725" s="38"/>
      <c r="BU725" s="38"/>
      <c r="BV725" s="38"/>
    </row>
    <row r="726" ht="14.25" customHeight="1">
      <c r="A726" s="74"/>
      <c r="B726" s="38"/>
      <c r="C726" s="38"/>
      <c r="D726" s="38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38"/>
      <c r="AM726" s="38"/>
      <c r="AN726" s="75"/>
      <c r="AO726" s="75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  <c r="BP726" s="38"/>
      <c r="BQ726" s="38"/>
      <c r="BR726" s="38"/>
      <c r="BS726" s="38"/>
      <c r="BT726" s="38"/>
      <c r="BU726" s="38"/>
      <c r="BV726" s="38"/>
    </row>
    <row r="727" ht="14.25" customHeight="1">
      <c r="A727" s="74"/>
      <c r="B727" s="38"/>
      <c r="C727" s="38"/>
      <c r="D727" s="38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38"/>
      <c r="AM727" s="38"/>
      <c r="AN727" s="75"/>
      <c r="AO727" s="75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  <c r="BP727" s="38"/>
      <c r="BQ727" s="38"/>
      <c r="BR727" s="38"/>
      <c r="BS727" s="38"/>
      <c r="BT727" s="38"/>
      <c r="BU727" s="38"/>
      <c r="BV727" s="38"/>
    </row>
    <row r="728" ht="14.25" customHeight="1">
      <c r="A728" s="74"/>
      <c r="B728" s="38"/>
      <c r="C728" s="38"/>
      <c r="D728" s="38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38"/>
      <c r="AM728" s="38"/>
      <c r="AN728" s="75"/>
      <c r="AO728" s="75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  <c r="BP728" s="38"/>
      <c r="BQ728" s="38"/>
      <c r="BR728" s="38"/>
      <c r="BS728" s="38"/>
      <c r="BT728" s="38"/>
      <c r="BU728" s="38"/>
      <c r="BV728" s="38"/>
    </row>
    <row r="729" ht="14.25" customHeight="1">
      <c r="A729" s="74"/>
      <c r="B729" s="38"/>
      <c r="C729" s="38"/>
      <c r="D729" s="38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38"/>
      <c r="AM729" s="38"/>
      <c r="AN729" s="75"/>
      <c r="AO729" s="75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  <c r="BP729" s="38"/>
      <c r="BQ729" s="38"/>
      <c r="BR729" s="38"/>
      <c r="BS729" s="38"/>
      <c r="BT729" s="38"/>
      <c r="BU729" s="38"/>
      <c r="BV729" s="38"/>
    </row>
    <row r="730" ht="14.25" customHeight="1">
      <c r="A730" s="74"/>
      <c r="B730" s="38"/>
      <c r="C730" s="38"/>
      <c r="D730" s="38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38"/>
      <c r="AM730" s="38"/>
      <c r="AN730" s="75"/>
      <c r="AO730" s="75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  <c r="BP730" s="38"/>
      <c r="BQ730" s="38"/>
      <c r="BR730" s="38"/>
      <c r="BS730" s="38"/>
      <c r="BT730" s="38"/>
      <c r="BU730" s="38"/>
      <c r="BV730" s="38"/>
    </row>
    <row r="731" ht="14.25" customHeight="1">
      <c r="A731" s="74"/>
      <c r="B731" s="38"/>
      <c r="C731" s="38"/>
      <c r="D731" s="38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38"/>
      <c r="AM731" s="38"/>
      <c r="AN731" s="75"/>
      <c r="AO731" s="75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  <c r="BP731" s="38"/>
      <c r="BQ731" s="38"/>
      <c r="BR731" s="38"/>
      <c r="BS731" s="38"/>
      <c r="BT731" s="38"/>
      <c r="BU731" s="38"/>
      <c r="BV731" s="38"/>
    </row>
    <row r="732" ht="14.25" customHeight="1">
      <c r="A732" s="74"/>
      <c r="B732" s="38"/>
      <c r="C732" s="38"/>
      <c r="D732" s="38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38"/>
      <c r="AM732" s="38"/>
      <c r="AN732" s="75"/>
      <c r="AO732" s="75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  <c r="BP732" s="38"/>
      <c r="BQ732" s="38"/>
      <c r="BR732" s="38"/>
      <c r="BS732" s="38"/>
      <c r="BT732" s="38"/>
      <c r="BU732" s="38"/>
      <c r="BV732" s="38"/>
    </row>
    <row r="733" ht="14.25" customHeight="1">
      <c r="A733" s="74"/>
      <c r="B733" s="38"/>
      <c r="C733" s="38"/>
      <c r="D733" s="38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38"/>
      <c r="AM733" s="38"/>
      <c r="AN733" s="75"/>
      <c r="AO733" s="75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  <c r="BQ733" s="38"/>
      <c r="BR733" s="38"/>
      <c r="BS733" s="38"/>
      <c r="BT733" s="38"/>
      <c r="BU733" s="38"/>
      <c r="BV733" s="38"/>
    </row>
    <row r="734" ht="14.25" customHeight="1">
      <c r="A734" s="74"/>
      <c r="B734" s="38"/>
      <c r="C734" s="38"/>
      <c r="D734" s="38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38"/>
      <c r="AM734" s="38"/>
      <c r="AN734" s="75"/>
      <c r="AO734" s="75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  <c r="BQ734" s="38"/>
      <c r="BR734" s="38"/>
      <c r="BS734" s="38"/>
      <c r="BT734" s="38"/>
      <c r="BU734" s="38"/>
      <c r="BV734" s="38"/>
    </row>
    <row r="735" ht="14.25" customHeight="1">
      <c r="A735" s="74"/>
      <c r="B735" s="38"/>
      <c r="C735" s="38"/>
      <c r="D735" s="38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38"/>
      <c r="AM735" s="38"/>
      <c r="AN735" s="75"/>
      <c r="AO735" s="75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  <c r="BP735" s="38"/>
      <c r="BQ735" s="38"/>
      <c r="BR735" s="38"/>
      <c r="BS735" s="38"/>
      <c r="BT735" s="38"/>
      <c r="BU735" s="38"/>
      <c r="BV735" s="38"/>
    </row>
    <row r="736" ht="14.25" customHeight="1">
      <c r="A736" s="74"/>
      <c r="B736" s="38"/>
      <c r="C736" s="38"/>
      <c r="D736" s="38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38"/>
      <c r="AM736" s="38"/>
      <c r="AN736" s="75"/>
      <c r="AO736" s="75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  <c r="BP736" s="38"/>
      <c r="BQ736" s="38"/>
      <c r="BR736" s="38"/>
      <c r="BS736" s="38"/>
      <c r="BT736" s="38"/>
      <c r="BU736" s="38"/>
      <c r="BV736" s="38"/>
    </row>
    <row r="737" ht="14.25" customHeight="1">
      <c r="A737" s="74"/>
      <c r="B737" s="38"/>
      <c r="C737" s="38"/>
      <c r="D737" s="38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38"/>
      <c r="AM737" s="38"/>
      <c r="AN737" s="75"/>
      <c r="AO737" s="75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  <c r="BP737" s="38"/>
      <c r="BQ737" s="38"/>
      <c r="BR737" s="38"/>
      <c r="BS737" s="38"/>
      <c r="BT737" s="38"/>
      <c r="BU737" s="38"/>
      <c r="BV737" s="38"/>
    </row>
    <row r="738" ht="14.25" customHeight="1">
      <c r="A738" s="74"/>
      <c r="B738" s="38"/>
      <c r="C738" s="38"/>
      <c r="D738" s="38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38"/>
      <c r="AM738" s="38"/>
      <c r="AN738" s="75"/>
      <c r="AO738" s="75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  <c r="BP738" s="38"/>
      <c r="BQ738" s="38"/>
      <c r="BR738" s="38"/>
      <c r="BS738" s="38"/>
      <c r="BT738" s="38"/>
      <c r="BU738" s="38"/>
      <c r="BV738" s="38"/>
    </row>
    <row r="739" ht="14.25" customHeight="1">
      <c r="A739" s="74"/>
      <c r="B739" s="38"/>
      <c r="C739" s="38"/>
      <c r="D739" s="38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38"/>
      <c r="AM739" s="38"/>
      <c r="AN739" s="75"/>
      <c r="AO739" s="75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  <c r="BP739" s="38"/>
      <c r="BQ739" s="38"/>
      <c r="BR739" s="38"/>
      <c r="BS739" s="38"/>
      <c r="BT739" s="38"/>
      <c r="BU739" s="38"/>
      <c r="BV739" s="38"/>
    </row>
    <row r="740" ht="14.25" customHeight="1">
      <c r="A740" s="74"/>
      <c r="B740" s="38"/>
      <c r="C740" s="38"/>
      <c r="D740" s="38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38"/>
      <c r="AM740" s="38"/>
      <c r="AN740" s="75"/>
      <c r="AO740" s="75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  <c r="BP740" s="38"/>
      <c r="BQ740" s="38"/>
      <c r="BR740" s="38"/>
      <c r="BS740" s="38"/>
      <c r="BT740" s="38"/>
      <c r="BU740" s="38"/>
      <c r="BV740" s="38"/>
    </row>
    <row r="741" ht="14.25" customHeight="1">
      <c r="A741" s="74"/>
      <c r="B741" s="38"/>
      <c r="C741" s="38"/>
      <c r="D741" s="38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38"/>
      <c r="AM741" s="38"/>
      <c r="AN741" s="75"/>
      <c r="AO741" s="75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  <c r="BP741" s="38"/>
      <c r="BQ741" s="38"/>
      <c r="BR741" s="38"/>
      <c r="BS741" s="38"/>
      <c r="BT741" s="38"/>
      <c r="BU741" s="38"/>
      <c r="BV741" s="38"/>
    </row>
    <row r="742" ht="14.25" customHeight="1">
      <c r="A742" s="74"/>
      <c r="B742" s="38"/>
      <c r="C742" s="38"/>
      <c r="D742" s="38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38"/>
      <c r="AM742" s="38"/>
      <c r="AN742" s="75"/>
      <c r="AO742" s="75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  <c r="BP742" s="38"/>
      <c r="BQ742" s="38"/>
      <c r="BR742" s="38"/>
      <c r="BS742" s="38"/>
      <c r="BT742" s="38"/>
      <c r="BU742" s="38"/>
      <c r="BV742" s="38"/>
    </row>
    <row r="743" ht="14.25" customHeight="1">
      <c r="A743" s="74"/>
      <c r="B743" s="38"/>
      <c r="C743" s="38"/>
      <c r="D743" s="38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38"/>
      <c r="AM743" s="38"/>
      <c r="AN743" s="75"/>
      <c r="AO743" s="75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  <c r="BP743" s="38"/>
      <c r="BQ743" s="38"/>
      <c r="BR743" s="38"/>
      <c r="BS743" s="38"/>
      <c r="BT743" s="38"/>
      <c r="BU743" s="38"/>
      <c r="BV743" s="38"/>
    </row>
    <row r="744" ht="14.25" customHeight="1">
      <c r="A744" s="74"/>
      <c r="B744" s="38"/>
      <c r="C744" s="38"/>
      <c r="D744" s="38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38"/>
      <c r="AM744" s="38"/>
      <c r="AN744" s="75"/>
      <c r="AO744" s="75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  <c r="BQ744" s="38"/>
      <c r="BR744" s="38"/>
      <c r="BS744" s="38"/>
      <c r="BT744" s="38"/>
      <c r="BU744" s="38"/>
      <c r="BV744" s="38"/>
    </row>
    <row r="745" ht="14.25" customHeight="1">
      <c r="A745" s="74"/>
      <c r="B745" s="38"/>
      <c r="C745" s="38"/>
      <c r="D745" s="38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38"/>
      <c r="AM745" s="38"/>
      <c r="AN745" s="75"/>
      <c r="AO745" s="75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  <c r="BP745" s="38"/>
      <c r="BQ745" s="38"/>
      <c r="BR745" s="38"/>
      <c r="BS745" s="38"/>
      <c r="BT745" s="38"/>
      <c r="BU745" s="38"/>
      <c r="BV745" s="38"/>
    </row>
    <row r="746" ht="14.25" customHeight="1">
      <c r="A746" s="74"/>
      <c r="B746" s="38"/>
      <c r="C746" s="38"/>
      <c r="D746" s="38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38"/>
      <c r="AM746" s="38"/>
      <c r="AN746" s="75"/>
      <c r="AO746" s="75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  <c r="BP746" s="38"/>
      <c r="BQ746" s="38"/>
      <c r="BR746" s="38"/>
      <c r="BS746" s="38"/>
      <c r="BT746" s="38"/>
      <c r="BU746" s="38"/>
      <c r="BV746" s="38"/>
    </row>
    <row r="747" ht="14.25" customHeight="1">
      <c r="A747" s="74"/>
      <c r="B747" s="38"/>
      <c r="C747" s="38"/>
      <c r="D747" s="38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38"/>
      <c r="AM747" s="38"/>
      <c r="AN747" s="75"/>
      <c r="AO747" s="75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  <c r="BP747" s="38"/>
      <c r="BQ747" s="38"/>
      <c r="BR747" s="38"/>
      <c r="BS747" s="38"/>
      <c r="BT747" s="38"/>
      <c r="BU747" s="38"/>
      <c r="BV747" s="38"/>
    </row>
    <row r="748" ht="14.25" customHeight="1">
      <c r="A748" s="74"/>
      <c r="B748" s="38"/>
      <c r="C748" s="38"/>
      <c r="D748" s="38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38"/>
      <c r="AM748" s="38"/>
      <c r="AN748" s="75"/>
      <c r="AO748" s="75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  <c r="BP748" s="38"/>
      <c r="BQ748" s="38"/>
      <c r="BR748" s="38"/>
      <c r="BS748" s="38"/>
      <c r="BT748" s="38"/>
      <c r="BU748" s="38"/>
      <c r="BV748" s="38"/>
    </row>
    <row r="749" ht="14.25" customHeight="1">
      <c r="A749" s="74"/>
      <c r="B749" s="38"/>
      <c r="C749" s="38"/>
      <c r="D749" s="38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38"/>
      <c r="AM749" s="38"/>
      <c r="AN749" s="75"/>
      <c r="AO749" s="75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  <c r="BP749" s="38"/>
      <c r="BQ749" s="38"/>
      <c r="BR749" s="38"/>
      <c r="BS749" s="38"/>
      <c r="BT749" s="38"/>
      <c r="BU749" s="38"/>
      <c r="BV749" s="38"/>
    </row>
    <row r="750" ht="14.25" customHeight="1">
      <c r="A750" s="74"/>
      <c r="B750" s="38"/>
      <c r="C750" s="38"/>
      <c r="D750" s="38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38"/>
      <c r="AM750" s="38"/>
      <c r="AN750" s="75"/>
      <c r="AO750" s="75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  <c r="BP750" s="38"/>
      <c r="BQ750" s="38"/>
      <c r="BR750" s="38"/>
      <c r="BS750" s="38"/>
      <c r="BT750" s="38"/>
      <c r="BU750" s="38"/>
      <c r="BV750" s="38"/>
    </row>
    <row r="751" ht="14.25" customHeight="1">
      <c r="A751" s="74"/>
      <c r="B751" s="38"/>
      <c r="C751" s="38"/>
      <c r="D751" s="38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38"/>
      <c r="AM751" s="38"/>
      <c r="AN751" s="75"/>
      <c r="AO751" s="75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  <c r="BP751" s="38"/>
      <c r="BQ751" s="38"/>
      <c r="BR751" s="38"/>
      <c r="BS751" s="38"/>
      <c r="BT751" s="38"/>
      <c r="BU751" s="38"/>
      <c r="BV751" s="38"/>
    </row>
    <row r="752" ht="14.25" customHeight="1">
      <c r="A752" s="74"/>
      <c r="B752" s="38"/>
      <c r="C752" s="38"/>
      <c r="D752" s="38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38"/>
      <c r="AM752" s="38"/>
      <c r="AN752" s="75"/>
      <c r="AO752" s="75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  <c r="BP752" s="38"/>
      <c r="BQ752" s="38"/>
      <c r="BR752" s="38"/>
      <c r="BS752" s="38"/>
      <c r="BT752" s="38"/>
      <c r="BU752" s="38"/>
      <c r="BV752" s="38"/>
    </row>
    <row r="753" ht="14.25" customHeight="1">
      <c r="A753" s="74"/>
      <c r="B753" s="38"/>
      <c r="C753" s="38"/>
      <c r="D753" s="38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38"/>
      <c r="AM753" s="38"/>
      <c r="AN753" s="75"/>
      <c r="AO753" s="75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  <c r="BP753" s="38"/>
      <c r="BQ753" s="38"/>
      <c r="BR753" s="38"/>
      <c r="BS753" s="38"/>
      <c r="BT753" s="38"/>
      <c r="BU753" s="38"/>
      <c r="BV753" s="38"/>
    </row>
    <row r="754" ht="14.25" customHeight="1">
      <c r="A754" s="74"/>
      <c r="B754" s="38"/>
      <c r="C754" s="38"/>
      <c r="D754" s="38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38"/>
      <c r="AM754" s="38"/>
      <c r="AN754" s="75"/>
      <c r="AO754" s="75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  <c r="BP754" s="38"/>
      <c r="BQ754" s="38"/>
      <c r="BR754" s="38"/>
      <c r="BS754" s="38"/>
      <c r="BT754" s="38"/>
      <c r="BU754" s="38"/>
      <c r="BV754" s="38"/>
    </row>
    <row r="755" ht="14.25" customHeight="1">
      <c r="A755" s="74"/>
      <c r="B755" s="38"/>
      <c r="C755" s="38"/>
      <c r="D755" s="38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38"/>
      <c r="AM755" s="38"/>
      <c r="AN755" s="75"/>
      <c r="AO755" s="75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  <c r="BP755" s="38"/>
      <c r="BQ755" s="38"/>
      <c r="BR755" s="38"/>
      <c r="BS755" s="38"/>
      <c r="BT755" s="38"/>
      <c r="BU755" s="38"/>
      <c r="BV755" s="38"/>
    </row>
    <row r="756" ht="14.25" customHeight="1">
      <c r="A756" s="74"/>
      <c r="B756" s="38"/>
      <c r="C756" s="38"/>
      <c r="D756" s="38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38"/>
      <c r="AM756" s="38"/>
      <c r="AN756" s="75"/>
      <c r="AO756" s="75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  <c r="BP756" s="38"/>
      <c r="BQ756" s="38"/>
      <c r="BR756" s="38"/>
      <c r="BS756" s="38"/>
      <c r="BT756" s="38"/>
      <c r="BU756" s="38"/>
      <c r="BV756" s="38"/>
    </row>
    <row r="757" ht="14.25" customHeight="1">
      <c r="A757" s="74"/>
      <c r="B757" s="38"/>
      <c r="C757" s="38"/>
      <c r="D757" s="38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38"/>
      <c r="AM757" s="38"/>
      <c r="AN757" s="75"/>
      <c r="AO757" s="75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  <c r="BP757" s="38"/>
      <c r="BQ757" s="38"/>
      <c r="BR757" s="38"/>
      <c r="BS757" s="38"/>
      <c r="BT757" s="38"/>
      <c r="BU757" s="38"/>
      <c r="BV757" s="38"/>
    </row>
    <row r="758" ht="14.25" customHeight="1">
      <c r="A758" s="74"/>
      <c r="B758" s="38"/>
      <c r="C758" s="38"/>
      <c r="D758" s="38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38"/>
      <c r="AM758" s="38"/>
      <c r="AN758" s="75"/>
      <c r="AO758" s="75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  <c r="BP758" s="38"/>
      <c r="BQ758" s="38"/>
      <c r="BR758" s="38"/>
      <c r="BS758" s="38"/>
      <c r="BT758" s="38"/>
      <c r="BU758" s="38"/>
      <c r="BV758" s="38"/>
    </row>
    <row r="759" ht="14.25" customHeight="1">
      <c r="A759" s="74"/>
      <c r="B759" s="38"/>
      <c r="C759" s="38"/>
      <c r="D759" s="38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38"/>
      <c r="AM759" s="38"/>
      <c r="AN759" s="75"/>
      <c r="AO759" s="75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  <c r="BP759" s="38"/>
      <c r="BQ759" s="38"/>
      <c r="BR759" s="38"/>
      <c r="BS759" s="38"/>
      <c r="BT759" s="38"/>
      <c r="BU759" s="38"/>
      <c r="BV759" s="38"/>
    </row>
    <row r="760" ht="14.25" customHeight="1">
      <c r="A760" s="74"/>
      <c r="B760" s="38"/>
      <c r="C760" s="38"/>
      <c r="D760" s="38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38"/>
      <c r="AM760" s="38"/>
      <c r="AN760" s="75"/>
      <c r="AO760" s="75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  <c r="BP760" s="38"/>
      <c r="BQ760" s="38"/>
      <c r="BR760" s="38"/>
      <c r="BS760" s="38"/>
      <c r="BT760" s="38"/>
      <c r="BU760" s="38"/>
      <c r="BV760" s="38"/>
    </row>
    <row r="761" ht="14.25" customHeight="1">
      <c r="A761" s="74"/>
      <c r="B761" s="38"/>
      <c r="C761" s="38"/>
      <c r="D761" s="38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38"/>
      <c r="AM761" s="38"/>
      <c r="AN761" s="75"/>
      <c r="AO761" s="75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  <c r="BP761" s="38"/>
      <c r="BQ761" s="38"/>
      <c r="BR761" s="38"/>
      <c r="BS761" s="38"/>
      <c r="BT761" s="38"/>
      <c r="BU761" s="38"/>
      <c r="BV761" s="38"/>
    </row>
    <row r="762" ht="14.25" customHeight="1">
      <c r="A762" s="74"/>
      <c r="B762" s="38"/>
      <c r="C762" s="38"/>
      <c r="D762" s="38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38"/>
      <c r="AM762" s="38"/>
      <c r="AN762" s="75"/>
      <c r="AO762" s="75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  <c r="BP762" s="38"/>
      <c r="BQ762" s="38"/>
      <c r="BR762" s="38"/>
      <c r="BS762" s="38"/>
      <c r="BT762" s="38"/>
      <c r="BU762" s="38"/>
      <c r="BV762" s="38"/>
    </row>
    <row r="763" ht="14.25" customHeight="1">
      <c r="A763" s="74"/>
      <c r="B763" s="38"/>
      <c r="C763" s="38"/>
      <c r="D763" s="38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38"/>
      <c r="AM763" s="38"/>
      <c r="AN763" s="75"/>
      <c r="AO763" s="75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  <c r="BP763" s="38"/>
      <c r="BQ763" s="38"/>
      <c r="BR763" s="38"/>
      <c r="BS763" s="38"/>
      <c r="BT763" s="38"/>
      <c r="BU763" s="38"/>
      <c r="BV763" s="38"/>
    </row>
    <row r="764" ht="14.25" customHeight="1">
      <c r="A764" s="74"/>
      <c r="B764" s="38"/>
      <c r="C764" s="38"/>
      <c r="D764" s="38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38"/>
      <c r="AM764" s="38"/>
      <c r="AN764" s="75"/>
      <c r="AO764" s="75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  <c r="BP764" s="38"/>
      <c r="BQ764" s="38"/>
      <c r="BR764" s="38"/>
      <c r="BS764" s="38"/>
      <c r="BT764" s="38"/>
      <c r="BU764" s="38"/>
      <c r="BV764" s="38"/>
    </row>
    <row r="765" ht="14.25" customHeight="1">
      <c r="A765" s="74"/>
      <c r="B765" s="38"/>
      <c r="C765" s="38"/>
      <c r="D765" s="38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38"/>
      <c r="AM765" s="38"/>
      <c r="AN765" s="75"/>
      <c r="AO765" s="75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  <c r="BP765" s="38"/>
      <c r="BQ765" s="38"/>
      <c r="BR765" s="38"/>
      <c r="BS765" s="38"/>
      <c r="BT765" s="38"/>
      <c r="BU765" s="38"/>
      <c r="BV765" s="38"/>
    </row>
    <row r="766" ht="14.25" customHeight="1">
      <c r="A766" s="74"/>
      <c r="B766" s="38"/>
      <c r="C766" s="38"/>
      <c r="D766" s="38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38"/>
      <c r="AM766" s="38"/>
      <c r="AN766" s="75"/>
      <c r="AO766" s="75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  <c r="BP766" s="38"/>
      <c r="BQ766" s="38"/>
      <c r="BR766" s="38"/>
      <c r="BS766" s="38"/>
      <c r="BT766" s="38"/>
      <c r="BU766" s="38"/>
      <c r="BV766" s="38"/>
    </row>
    <row r="767" ht="14.25" customHeight="1">
      <c r="A767" s="74"/>
      <c r="B767" s="38"/>
      <c r="C767" s="38"/>
      <c r="D767" s="38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38"/>
      <c r="AM767" s="38"/>
      <c r="AN767" s="75"/>
      <c r="AO767" s="75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  <c r="BP767" s="38"/>
      <c r="BQ767" s="38"/>
      <c r="BR767" s="38"/>
      <c r="BS767" s="38"/>
      <c r="BT767" s="38"/>
      <c r="BU767" s="38"/>
      <c r="BV767" s="38"/>
    </row>
    <row r="768" ht="14.25" customHeight="1">
      <c r="A768" s="74"/>
      <c r="B768" s="38"/>
      <c r="C768" s="38"/>
      <c r="D768" s="38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38"/>
      <c r="AM768" s="38"/>
      <c r="AN768" s="75"/>
      <c r="AO768" s="75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  <c r="BP768" s="38"/>
      <c r="BQ768" s="38"/>
      <c r="BR768" s="38"/>
      <c r="BS768" s="38"/>
      <c r="BT768" s="38"/>
      <c r="BU768" s="38"/>
      <c r="BV768" s="38"/>
    </row>
    <row r="769" ht="14.25" customHeight="1">
      <c r="A769" s="74"/>
      <c r="B769" s="38"/>
      <c r="C769" s="38"/>
      <c r="D769" s="38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38"/>
      <c r="AM769" s="38"/>
      <c r="AN769" s="75"/>
      <c r="AO769" s="75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  <c r="BP769" s="38"/>
      <c r="BQ769" s="38"/>
      <c r="BR769" s="38"/>
      <c r="BS769" s="38"/>
      <c r="BT769" s="38"/>
      <c r="BU769" s="38"/>
      <c r="BV769" s="38"/>
    </row>
    <row r="770" ht="14.25" customHeight="1">
      <c r="A770" s="74"/>
      <c r="B770" s="38"/>
      <c r="C770" s="38"/>
      <c r="D770" s="38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38"/>
      <c r="AM770" s="38"/>
      <c r="AN770" s="75"/>
      <c r="AO770" s="75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  <c r="BP770" s="38"/>
      <c r="BQ770" s="38"/>
      <c r="BR770" s="38"/>
      <c r="BS770" s="38"/>
      <c r="BT770" s="38"/>
      <c r="BU770" s="38"/>
      <c r="BV770" s="38"/>
    </row>
    <row r="771" ht="14.25" customHeight="1">
      <c r="A771" s="74"/>
      <c r="B771" s="38"/>
      <c r="C771" s="38"/>
      <c r="D771" s="38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38"/>
      <c r="AM771" s="38"/>
      <c r="AN771" s="75"/>
      <c r="AO771" s="75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  <c r="BP771" s="38"/>
      <c r="BQ771" s="38"/>
      <c r="BR771" s="38"/>
      <c r="BS771" s="38"/>
      <c r="BT771" s="38"/>
      <c r="BU771" s="38"/>
      <c r="BV771" s="38"/>
    </row>
    <row r="772" ht="14.25" customHeight="1">
      <c r="A772" s="74"/>
      <c r="B772" s="38"/>
      <c r="C772" s="38"/>
      <c r="D772" s="38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38"/>
      <c r="AM772" s="38"/>
      <c r="AN772" s="75"/>
      <c r="AO772" s="75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  <c r="BP772" s="38"/>
      <c r="BQ772" s="38"/>
      <c r="BR772" s="38"/>
      <c r="BS772" s="38"/>
      <c r="BT772" s="38"/>
      <c r="BU772" s="38"/>
      <c r="BV772" s="38"/>
    </row>
    <row r="773" ht="14.25" customHeight="1">
      <c r="A773" s="74"/>
      <c r="B773" s="38"/>
      <c r="C773" s="38"/>
      <c r="D773" s="38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38"/>
      <c r="AM773" s="38"/>
      <c r="AN773" s="75"/>
      <c r="AO773" s="75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  <c r="BP773" s="38"/>
      <c r="BQ773" s="38"/>
      <c r="BR773" s="38"/>
      <c r="BS773" s="38"/>
      <c r="BT773" s="38"/>
      <c r="BU773" s="38"/>
      <c r="BV773" s="38"/>
    </row>
    <row r="774" ht="14.25" customHeight="1">
      <c r="A774" s="74"/>
      <c r="B774" s="38"/>
      <c r="C774" s="38"/>
      <c r="D774" s="38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38"/>
      <c r="AM774" s="38"/>
      <c r="AN774" s="75"/>
      <c r="AO774" s="75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  <c r="BP774" s="38"/>
      <c r="BQ774" s="38"/>
      <c r="BR774" s="38"/>
      <c r="BS774" s="38"/>
      <c r="BT774" s="38"/>
      <c r="BU774" s="38"/>
      <c r="BV774" s="38"/>
    </row>
    <row r="775" ht="14.25" customHeight="1">
      <c r="A775" s="74"/>
      <c r="B775" s="38"/>
      <c r="C775" s="38"/>
      <c r="D775" s="38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38"/>
      <c r="AM775" s="38"/>
      <c r="AN775" s="75"/>
      <c r="AO775" s="75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  <c r="BP775" s="38"/>
      <c r="BQ775" s="38"/>
      <c r="BR775" s="38"/>
      <c r="BS775" s="38"/>
      <c r="BT775" s="38"/>
      <c r="BU775" s="38"/>
      <c r="BV775" s="38"/>
    </row>
    <row r="776" ht="14.25" customHeight="1">
      <c r="A776" s="74"/>
      <c r="B776" s="38"/>
      <c r="C776" s="38"/>
      <c r="D776" s="38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38"/>
      <c r="AM776" s="38"/>
      <c r="AN776" s="75"/>
      <c r="AO776" s="75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  <c r="BP776" s="38"/>
      <c r="BQ776" s="38"/>
      <c r="BR776" s="38"/>
      <c r="BS776" s="38"/>
      <c r="BT776" s="38"/>
      <c r="BU776" s="38"/>
      <c r="BV776" s="38"/>
    </row>
    <row r="777" ht="14.25" customHeight="1">
      <c r="A777" s="74"/>
      <c r="B777" s="38"/>
      <c r="C777" s="38"/>
      <c r="D777" s="38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38"/>
      <c r="AM777" s="38"/>
      <c r="AN777" s="75"/>
      <c r="AO777" s="75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  <c r="BP777" s="38"/>
      <c r="BQ777" s="38"/>
      <c r="BR777" s="38"/>
      <c r="BS777" s="38"/>
      <c r="BT777" s="38"/>
      <c r="BU777" s="38"/>
      <c r="BV777" s="38"/>
    </row>
    <row r="778" ht="14.25" customHeight="1">
      <c r="A778" s="74"/>
      <c r="B778" s="38"/>
      <c r="C778" s="38"/>
      <c r="D778" s="38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38"/>
      <c r="AM778" s="38"/>
      <c r="AN778" s="75"/>
      <c r="AO778" s="75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  <c r="BP778" s="38"/>
      <c r="BQ778" s="38"/>
      <c r="BR778" s="38"/>
      <c r="BS778" s="38"/>
      <c r="BT778" s="38"/>
      <c r="BU778" s="38"/>
      <c r="BV778" s="38"/>
    </row>
    <row r="779" ht="14.25" customHeight="1">
      <c r="A779" s="74"/>
      <c r="B779" s="38"/>
      <c r="C779" s="38"/>
      <c r="D779" s="38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38"/>
      <c r="AM779" s="38"/>
      <c r="AN779" s="75"/>
      <c r="AO779" s="75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  <c r="BP779" s="38"/>
      <c r="BQ779" s="38"/>
      <c r="BR779" s="38"/>
      <c r="BS779" s="38"/>
      <c r="BT779" s="38"/>
      <c r="BU779" s="38"/>
      <c r="BV779" s="38"/>
    </row>
    <row r="780" ht="14.25" customHeight="1">
      <c r="A780" s="74"/>
      <c r="B780" s="38"/>
      <c r="C780" s="38"/>
      <c r="D780" s="38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38"/>
      <c r="AM780" s="38"/>
      <c r="AN780" s="75"/>
      <c r="AO780" s="75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  <c r="BP780" s="38"/>
      <c r="BQ780" s="38"/>
      <c r="BR780" s="38"/>
      <c r="BS780" s="38"/>
      <c r="BT780" s="38"/>
      <c r="BU780" s="38"/>
      <c r="BV780" s="38"/>
    </row>
    <row r="781" ht="14.25" customHeight="1">
      <c r="A781" s="74"/>
      <c r="B781" s="38"/>
      <c r="C781" s="38"/>
      <c r="D781" s="38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38"/>
      <c r="AM781" s="38"/>
      <c r="AN781" s="75"/>
      <c r="AO781" s="75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  <c r="BP781" s="38"/>
      <c r="BQ781" s="38"/>
      <c r="BR781" s="38"/>
      <c r="BS781" s="38"/>
      <c r="BT781" s="38"/>
      <c r="BU781" s="38"/>
      <c r="BV781" s="38"/>
    </row>
    <row r="782" ht="14.25" customHeight="1">
      <c r="A782" s="74"/>
      <c r="B782" s="38"/>
      <c r="C782" s="38"/>
      <c r="D782" s="38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38"/>
      <c r="AM782" s="38"/>
      <c r="AN782" s="75"/>
      <c r="AO782" s="75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  <c r="BP782" s="38"/>
      <c r="BQ782" s="38"/>
      <c r="BR782" s="38"/>
      <c r="BS782" s="38"/>
      <c r="BT782" s="38"/>
      <c r="BU782" s="38"/>
      <c r="BV782" s="38"/>
    </row>
    <row r="783" ht="14.25" customHeight="1">
      <c r="A783" s="74"/>
      <c r="B783" s="38"/>
      <c r="C783" s="38"/>
      <c r="D783" s="38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38"/>
      <c r="AM783" s="38"/>
      <c r="AN783" s="75"/>
      <c r="AO783" s="75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  <c r="BP783" s="38"/>
      <c r="BQ783" s="38"/>
      <c r="BR783" s="38"/>
      <c r="BS783" s="38"/>
      <c r="BT783" s="38"/>
      <c r="BU783" s="38"/>
      <c r="BV783" s="38"/>
    </row>
    <row r="784" ht="14.25" customHeight="1">
      <c r="A784" s="74"/>
      <c r="B784" s="38"/>
      <c r="C784" s="38"/>
      <c r="D784" s="38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38"/>
      <c r="AM784" s="38"/>
      <c r="AN784" s="75"/>
      <c r="AO784" s="75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  <c r="BP784" s="38"/>
      <c r="BQ784" s="38"/>
      <c r="BR784" s="38"/>
      <c r="BS784" s="38"/>
      <c r="BT784" s="38"/>
      <c r="BU784" s="38"/>
      <c r="BV784" s="38"/>
    </row>
    <row r="785" ht="14.25" customHeight="1">
      <c r="A785" s="74"/>
      <c r="B785" s="38"/>
      <c r="C785" s="38"/>
      <c r="D785" s="38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38"/>
      <c r="AM785" s="38"/>
      <c r="AN785" s="75"/>
      <c r="AO785" s="75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  <c r="BP785" s="38"/>
      <c r="BQ785" s="38"/>
      <c r="BR785" s="38"/>
      <c r="BS785" s="38"/>
      <c r="BT785" s="38"/>
      <c r="BU785" s="38"/>
      <c r="BV785" s="38"/>
    </row>
    <row r="786" ht="14.25" customHeight="1">
      <c r="A786" s="74"/>
      <c r="B786" s="38"/>
      <c r="C786" s="38"/>
      <c r="D786" s="38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38"/>
      <c r="AM786" s="38"/>
      <c r="AN786" s="75"/>
      <c r="AO786" s="75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  <c r="BP786" s="38"/>
      <c r="BQ786" s="38"/>
      <c r="BR786" s="38"/>
      <c r="BS786" s="38"/>
      <c r="BT786" s="38"/>
      <c r="BU786" s="38"/>
      <c r="BV786" s="38"/>
    </row>
    <row r="787" ht="14.25" customHeight="1">
      <c r="A787" s="74"/>
      <c r="B787" s="38"/>
      <c r="C787" s="38"/>
      <c r="D787" s="38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38"/>
      <c r="AM787" s="38"/>
      <c r="AN787" s="75"/>
      <c r="AO787" s="75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  <c r="BP787" s="38"/>
      <c r="BQ787" s="38"/>
      <c r="BR787" s="38"/>
      <c r="BS787" s="38"/>
      <c r="BT787" s="38"/>
      <c r="BU787" s="38"/>
      <c r="BV787" s="38"/>
    </row>
    <row r="788" ht="14.25" customHeight="1">
      <c r="A788" s="74"/>
      <c r="B788" s="38"/>
      <c r="C788" s="38"/>
      <c r="D788" s="38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38"/>
      <c r="AM788" s="38"/>
      <c r="AN788" s="75"/>
      <c r="AO788" s="75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  <c r="BP788" s="38"/>
      <c r="BQ788" s="38"/>
      <c r="BR788" s="38"/>
      <c r="BS788" s="38"/>
      <c r="BT788" s="38"/>
      <c r="BU788" s="38"/>
      <c r="BV788" s="38"/>
    </row>
    <row r="789" ht="14.25" customHeight="1">
      <c r="A789" s="74"/>
      <c r="B789" s="38"/>
      <c r="C789" s="38"/>
      <c r="D789" s="38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38"/>
      <c r="AM789" s="38"/>
      <c r="AN789" s="75"/>
      <c r="AO789" s="75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  <c r="BP789" s="38"/>
      <c r="BQ789" s="38"/>
      <c r="BR789" s="38"/>
      <c r="BS789" s="38"/>
      <c r="BT789" s="38"/>
      <c r="BU789" s="38"/>
      <c r="BV789" s="38"/>
    </row>
    <row r="790" ht="14.25" customHeight="1">
      <c r="A790" s="74"/>
      <c r="B790" s="38"/>
      <c r="C790" s="38"/>
      <c r="D790" s="38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38"/>
      <c r="AM790" s="38"/>
      <c r="AN790" s="75"/>
      <c r="AO790" s="75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  <c r="BP790" s="38"/>
      <c r="BQ790" s="38"/>
      <c r="BR790" s="38"/>
      <c r="BS790" s="38"/>
      <c r="BT790" s="38"/>
      <c r="BU790" s="38"/>
      <c r="BV790" s="38"/>
    </row>
    <row r="791" ht="14.25" customHeight="1">
      <c r="A791" s="74"/>
      <c r="B791" s="38"/>
      <c r="C791" s="38"/>
      <c r="D791" s="38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38"/>
      <c r="AM791" s="38"/>
      <c r="AN791" s="75"/>
      <c r="AO791" s="75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  <c r="BP791" s="38"/>
      <c r="BQ791" s="38"/>
      <c r="BR791" s="38"/>
      <c r="BS791" s="38"/>
      <c r="BT791" s="38"/>
      <c r="BU791" s="38"/>
      <c r="BV791" s="38"/>
    </row>
    <row r="792" ht="14.25" customHeight="1">
      <c r="A792" s="74"/>
      <c r="B792" s="38"/>
      <c r="C792" s="38"/>
      <c r="D792" s="38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38"/>
      <c r="AM792" s="38"/>
      <c r="AN792" s="75"/>
      <c r="AO792" s="75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  <c r="BP792" s="38"/>
      <c r="BQ792" s="38"/>
      <c r="BR792" s="38"/>
      <c r="BS792" s="38"/>
      <c r="BT792" s="38"/>
      <c r="BU792" s="38"/>
      <c r="BV792" s="38"/>
    </row>
    <row r="793" ht="14.25" customHeight="1">
      <c r="A793" s="74"/>
      <c r="B793" s="38"/>
      <c r="C793" s="38"/>
      <c r="D793" s="38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38"/>
      <c r="AM793" s="38"/>
      <c r="AN793" s="75"/>
      <c r="AO793" s="75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  <c r="BP793" s="38"/>
      <c r="BQ793" s="38"/>
      <c r="BR793" s="38"/>
      <c r="BS793" s="38"/>
      <c r="BT793" s="38"/>
      <c r="BU793" s="38"/>
      <c r="BV793" s="38"/>
    </row>
    <row r="794" ht="14.25" customHeight="1">
      <c r="A794" s="74"/>
      <c r="B794" s="38"/>
      <c r="C794" s="38"/>
      <c r="D794" s="38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38"/>
      <c r="AM794" s="38"/>
      <c r="AN794" s="75"/>
      <c r="AO794" s="75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  <c r="BP794" s="38"/>
      <c r="BQ794" s="38"/>
      <c r="BR794" s="38"/>
      <c r="BS794" s="38"/>
      <c r="BT794" s="38"/>
      <c r="BU794" s="38"/>
      <c r="BV794" s="38"/>
    </row>
    <row r="795" ht="14.25" customHeight="1">
      <c r="A795" s="74"/>
      <c r="B795" s="38"/>
      <c r="C795" s="38"/>
      <c r="D795" s="38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38"/>
      <c r="AM795" s="38"/>
      <c r="AN795" s="75"/>
      <c r="AO795" s="75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  <c r="BP795" s="38"/>
      <c r="BQ795" s="38"/>
      <c r="BR795" s="38"/>
      <c r="BS795" s="38"/>
      <c r="BT795" s="38"/>
      <c r="BU795" s="38"/>
      <c r="BV795" s="38"/>
    </row>
    <row r="796" ht="14.25" customHeight="1">
      <c r="A796" s="74"/>
      <c r="B796" s="38"/>
      <c r="C796" s="38"/>
      <c r="D796" s="38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38"/>
      <c r="AM796" s="38"/>
      <c r="AN796" s="75"/>
      <c r="AO796" s="75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  <c r="BP796" s="38"/>
      <c r="BQ796" s="38"/>
      <c r="BR796" s="38"/>
      <c r="BS796" s="38"/>
      <c r="BT796" s="38"/>
      <c r="BU796" s="38"/>
      <c r="BV796" s="38"/>
    </row>
    <row r="797" ht="14.25" customHeight="1">
      <c r="A797" s="74"/>
      <c r="B797" s="38"/>
      <c r="C797" s="38"/>
      <c r="D797" s="38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38"/>
      <c r="AM797" s="38"/>
      <c r="AN797" s="75"/>
      <c r="AO797" s="75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  <c r="BP797" s="38"/>
      <c r="BQ797" s="38"/>
      <c r="BR797" s="38"/>
      <c r="BS797" s="38"/>
      <c r="BT797" s="38"/>
      <c r="BU797" s="38"/>
      <c r="BV797" s="38"/>
    </row>
    <row r="798" ht="14.25" customHeight="1">
      <c r="A798" s="74"/>
      <c r="B798" s="38"/>
      <c r="C798" s="38"/>
      <c r="D798" s="38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38"/>
      <c r="AM798" s="38"/>
      <c r="AN798" s="75"/>
      <c r="AO798" s="75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  <c r="BP798" s="38"/>
      <c r="BQ798" s="38"/>
      <c r="BR798" s="38"/>
      <c r="BS798" s="38"/>
      <c r="BT798" s="38"/>
      <c r="BU798" s="38"/>
      <c r="BV798" s="38"/>
    </row>
    <row r="799" ht="14.25" customHeight="1">
      <c r="A799" s="74"/>
      <c r="B799" s="38"/>
      <c r="C799" s="38"/>
      <c r="D799" s="38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38"/>
      <c r="AM799" s="38"/>
      <c r="AN799" s="75"/>
      <c r="AO799" s="75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  <c r="BP799" s="38"/>
      <c r="BQ799" s="38"/>
      <c r="BR799" s="38"/>
      <c r="BS799" s="38"/>
      <c r="BT799" s="38"/>
      <c r="BU799" s="38"/>
      <c r="BV799" s="38"/>
    </row>
    <row r="800" ht="14.25" customHeight="1">
      <c r="A800" s="74"/>
      <c r="B800" s="38"/>
      <c r="C800" s="38"/>
      <c r="D800" s="38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38"/>
      <c r="AM800" s="38"/>
      <c r="AN800" s="75"/>
      <c r="AO800" s="75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  <c r="BP800" s="38"/>
      <c r="BQ800" s="38"/>
      <c r="BR800" s="38"/>
      <c r="BS800" s="38"/>
      <c r="BT800" s="38"/>
      <c r="BU800" s="38"/>
      <c r="BV800" s="38"/>
    </row>
    <row r="801" ht="14.25" customHeight="1">
      <c r="A801" s="74"/>
      <c r="B801" s="38"/>
      <c r="C801" s="38"/>
      <c r="D801" s="38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38"/>
      <c r="AM801" s="38"/>
      <c r="AN801" s="75"/>
      <c r="AO801" s="75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  <c r="BP801" s="38"/>
      <c r="BQ801" s="38"/>
      <c r="BR801" s="38"/>
      <c r="BS801" s="38"/>
      <c r="BT801" s="38"/>
      <c r="BU801" s="38"/>
      <c r="BV801" s="38"/>
    </row>
    <row r="802" ht="14.25" customHeight="1">
      <c r="A802" s="74"/>
      <c r="B802" s="38"/>
      <c r="C802" s="38"/>
      <c r="D802" s="38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38"/>
      <c r="AM802" s="38"/>
      <c r="AN802" s="75"/>
      <c r="AO802" s="75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  <c r="BP802" s="38"/>
      <c r="BQ802" s="38"/>
      <c r="BR802" s="38"/>
      <c r="BS802" s="38"/>
      <c r="BT802" s="38"/>
      <c r="BU802" s="38"/>
      <c r="BV802" s="38"/>
    </row>
    <row r="803" ht="14.25" customHeight="1">
      <c r="A803" s="74"/>
      <c r="B803" s="38"/>
      <c r="C803" s="38"/>
      <c r="D803" s="38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38"/>
      <c r="AM803" s="38"/>
      <c r="AN803" s="75"/>
      <c r="AO803" s="75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  <c r="BP803" s="38"/>
      <c r="BQ803" s="38"/>
      <c r="BR803" s="38"/>
      <c r="BS803" s="38"/>
      <c r="BT803" s="38"/>
      <c r="BU803" s="38"/>
      <c r="BV803" s="38"/>
    </row>
    <row r="804" ht="14.25" customHeight="1">
      <c r="A804" s="74"/>
      <c r="B804" s="38"/>
      <c r="C804" s="38"/>
      <c r="D804" s="38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38"/>
      <c r="AM804" s="38"/>
      <c r="AN804" s="75"/>
      <c r="AO804" s="75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  <c r="BP804" s="38"/>
      <c r="BQ804" s="38"/>
      <c r="BR804" s="38"/>
      <c r="BS804" s="38"/>
      <c r="BT804" s="38"/>
      <c r="BU804" s="38"/>
      <c r="BV804" s="38"/>
    </row>
    <row r="805" ht="14.25" customHeight="1">
      <c r="A805" s="74"/>
      <c r="B805" s="38"/>
      <c r="C805" s="38"/>
      <c r="D805" s="38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38"/>
      <c r="AM805" s="38"/>
      <c r="AN805" s="75"/>
      <c r="AO805" s="75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  <c r="BP805" s="38"/>
      <c r="BQ805" s="38"/>
      <c r="BR805" s="38"/>
      <c r="BS805" s="38"/>
      <c r="BT805" s="38"/>
      <c r="BU805" s="38"/>
      <c r="BV805" s="38"/>
    </row>
    <row r="806" ht="14.25" customHeight="1">
      <c r="A806" s="74"/>
      <c r="B806" s="38"/>
      <c r="C806" s="38"/>
      <c r="D806" s="38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38"/>
      <c r="AM806" s="38"/>
      <c r="AN806" s="75"/>
      <c r="AO806" s="75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  <c r="BP806" s="38"/>
      <c r="BQ806" s="38"/>
      <c r="BR806" s="38"/>
      <c r="BS806" s="38"/>
      <c r="BT806" s="38"/>
      <c r="BU806" s="38"/>
      <c r="BV806" s="38"/>
    </row>
    <row r="807" ht="14.25" customHeight="1">
      <c r="A807" s="74"/>
      <c r="B807" s="38"/>
      <c r="C807" s="38"/>
      <c r="D807" s="38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38"/>
      <c r="AM807" s="38"/>
      <c r="AN807" s="75"/>
      <c r="AO807" s="75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  <c r="BP807" s="38"/>
      <c r="BQ807" s="38"/>
      <c r="BR807" s="38"/>
      <c r="BS807" s="38"/>
      <c r="BT807" s="38"/>
      <c r="BU807" s="38"/>
      <c r="BV807" s="38"/>
    </row>
    <row r="808" ht="14.25" customHeight="1">
      <c r="A808" s="74"/>
      <c r="B808" s="38"/>
      <c r="C808" s="38"/>
      <c r="D808" s="38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38"/>
      <c r="AM808" s="38"/>
      <c r="AN808" s="75"/>
      <c r="AO808" s="75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  <c r="BP808" s="38"/>
      <c r="BQ808" s="38"/>
      <c r="BR808" s="38"/>
      <c r="BS808" s="38"/>
      <c r="BT808" s="38"/>
      <c r="BU808" s="38"/>
      <c r="BV808" s="38"/>
    </row>
    <row r="809" ht="14.25" customHeight="1">
      <c r="A809" s="74"/>
      <c r="B809" s="38"/>
      <c r="C809" s="38"/>
      <c r="D809" s="38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38"/>
      <c r="AM809" s="38"/>
      <c r="AN809" s="75"/>
      <c r="AO809" s="75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  <c r="BP809" s="38"/>
      <c r="BQ809" s="38"/>
      <c r="BR809" s="38"/>
      <c r="BS809" s="38"/>
      <c r="BT809" s="38"/>
      <c r="BU809" s="38"/>
      <c r="BV809" s="38"/>
    </row>
    <row r="810" ht="14.25" customHeight="1">
      <c r="A810" s="74"/>
      <c r="B810" s="38"/>
      <c r="C810" s="38"/>
      <c r="D810" s="38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38"/>
      <c r="AM810" s="38"/>
      <c r="AN810" s="75"/>
      <c r="AO810" s="75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  <c r="BP810" s="38"/>
      <c r="BQ810" s="38"/>
      <c r="BR810" s="38"/>
      <c r="BS810" s="38"/>
      <c r="BT810" s="38"/>
      <c r="BU810" s="38"/>
      <c r="BV810" s="38"/>
    </row>
    <row r="811" ht="14.25" customHeight="1">
      <c r="A811" s="74"/>
      <c r="B811" s="38"/>
      <c r="C811" s="38"/>
      <c r="D811" s="38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38"/>
      <c r="AM811" s="38"/>
      <c r="AN811" s="75"/>
      <c r="AO811" s="75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  <c r="BP811" s="38"/>
      <c r="BQ811" s="38"/>
      <c r="BR811" s="38"/>
      <c r="BS811" s="38"/>
      <c r="BT811" s="38"/>
      <c r="BU811" s="38"/>
      <c r="BV811" s="38"/>
    </row>
    <row r="812" ht="14.25" customHeight="1">
      <c r="A812" s="74"/>
      <c r="B812" s="38"/>
      <c r="C812" s="38"/>
      <c r="D812" s="38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38"/>
      <c r="AM812" s="38"/>
      <c r="AN812" s="75"/>
      <c r="AO812" s="75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  <c r="BP812" s="38"/>
      <c r="BQ812" s="38"/>
      <c r="BR812" s="38"/>
      <c r="BS812" s="38"/>
      <c r="BT812" s="38"/>
      <c r="BU812" s="38"/>
      <c r="BV812" s="38"/>
    </row>
    <row r="813" ht="14.25" customHeight="1">
      <c r="A813" s="74"/>
      <c r="B813" s="38"/>
      <c r="C813" s="38"/>
      <c r="D813" s="38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38"/>
      <c r="AM813" s="38"/>
      <c r="AN813" s="75"/>
      <c r="AO813" s="75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  <c r="BP813" s="38"/>
      <c r="BQ813" s="38"/>
      <c r="BR813" s="38"/>
      <c r="BS813" s="38"/>
      <c r="BT813" s="38"/>
      <c r="BU813" s="38"/>
      <c r="BV813" s="38"/>
    </row>
    <row r="814" ht="14.25" customHeight="1">
      <c r="A814" s="74"/>
      <c r="B814" s="38"/>
      <c r="C814" s="38"/>
      <c r="D814" s="38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38"/>
      <c r="AM814" s="38"/>
      <c r="AN814" s="75"/>
      <c r="AO814" s="75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  <c r="BP814" s="38"/>
      <c r="BQ814" s="38"/>
      <c r="BR814" s="38"/>
      <c r="BS814" s="38"/>
      <c r="BT814" s="38"/>
      <c r="BU814" s="38"/>
      <c r="BV814" s="38"/>
    </row>
    <row r="815" ht="14.25" customHeight="1">
      <c r="A815" s="74"/>
      <c r="B815" s="38"/>
      <c r="C815" s="38"/>
      <c r="D815" s="38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38"/>
      <c r="AM815" s="38"/>
      <c r="AN815" s="75"/>
      <c r="AO815" s="75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  <c r="BP815" s="38"/>
      <c r="BQ815" s="38"/>
      <c r="BR815" s="38"/>
      <c r="BS815" s="38"/>
      <c r="BT815" s="38"/>
      <c r="BU815" s="38"/>
      <c r="BV815" s="38"/>
    </row>
    <row r="816" ht="14.25" customHeight="1">
      <c r="A816" s="74"/>
      <c r="B816" s="38"/>
      <c r="C816" s="38"/>
      <c r="D816" s="38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38"/>
      <c r="AM816" s="38"/>
      <c r="AN816" s="75"/>
      <c r="AO816" s="75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  <c r="BP816" s="38"/>
      <c r="BQ816" s="38"/>
      <c r="BR816" s="38"/>
      <c r="BS816" s="38"/>
      <c r="BT816" s="38"/>
      <c r="BU816" s="38"/>
      <c r="BV816" s="38"/>
    </row>
    <row r="817" ht="14.25" customHeight="1">
      <c r="A817" s="74"/>
      <c r="B817" s="38"/>
      <c r="C817" s="38"/>
      <c r="D817" s="38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38"/>
      <c r="AM817" s="38"/>
      <c r="AN817" s="75"/>
      <c r="AO817" s="75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  <c r="BP817" s="38"/>
      <c r="BQ817" s="38"/>
      <c r="BR817" s="38"/>
      <c r="BS817" s="38"/>
      <c r="BT817" s="38"/>
      <c r="BU817" s="38"/>
      <c r="BV817" s="38"/>
    </row>
    <row r="818" ht="14.25" customHeight="1">
      <c r="A818" s="74"/>
      <c r="B818" s="38"/>
      <c r="C818" s="38"/>
      <c r="D818" s="38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38"/>
      <c r="AM818" s="38"/>
      <c r="AN818" s="75"/>
      <c r="AO818" s="75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  <c r="BP818" s="38"/>
      <c r="BQ818" s="38"/>
      <c r="BR818" s="38"/>
      <c r="BS818" s="38"/>
      <c r="BT818" s="38"/>
      <c r="BU818" s="38"/>
      <c r="BV818" s="38"/>
    </row>
    <row r="819" ht="14.25" customHeight="1">
      <c r="A819" s="74"/>
      <c r="B819" s="38"/>
      <c r="C819" s="38"/>
      <c r="D819" s="38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38"/>
      <c r="AM819" s="38"/>
      <c r="AN819" s="75"/>
      <c r="AO819" s="75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  <c r="BP819" s="38"/>
      <c r="BQ819" s="38"/>
      <c r="BR819" s="38"/>
      <c r="BS819" s="38"/>
      <c r="BT819" s="38"/>
      <c r="BU819" s="38"/>
      <c r="BV819" s="38"/>
    </row>
    <row r="820" ht="14.25" customHeight="1">
      <c r="A820" s="74"/>
      <c r="B820" s="38"/>
      <c r="C820" s="38"/>
      <c r="D820" s="38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38"/>
      <c r="AM820" s="38"/>
      <c r="AN820" s="75"/>
      <c r="AO820" s="75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  <c r="BP820" s="38"/>
      <c r="BQ820" s="38"/>
      <c r="BR820" s="38"/>
      <c r="BS820" s="38"/>
      <c r="BT820" s="38"/>
      <c r="BU820" s="38"/>
      <c r="BV820" s="38"/>
    </row>
    <row r="821" ht="14.25" customHeight="1">
      <c r="A821" s="74"/>
      <c r="B821" s="38"/>
      <c r="C821" s="38"/>
      <c r="D821" s="38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38"/>
      <c r="AM821" s="38"/>
      <c r="AN821" s="75"/>
      <c r="AO821" s="75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  <c r="BP821" s="38"/>
      <c r="BQ821" s="38"/>
      <c r="BR821" s="38"/>
      <c r="BS821" s="38"/>
      <c r="BT821" s="38"/>
      <c r="BU821" s="38"/>
      <c r="BV821" s="38"/>
    </row>
    <row r="822" ht="14.25" customHeight="1">
      <c r="A822" s="74"/>
      <c r="B822" s="38"/>
      <c r="C822" s="38"/>
      <c r="D822" s="38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38"/>
      <c r="AM822" s="38"/>
      <c r="AN822" s="75"/>
      <c r="AO822" s="75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  <c r="BP822" s="38"/>
      <c r="BQ822" s="38"/>
      <c r="BR822" s="38"/>
      <c r="BS822" s="38"/>
      <c r="BT822" s="38"/>
      <c r="BU822" s="38"/>
      <c r="BV822" s="38"/>
    </row>
    <row r="823" ht="14.25" customHeight="1">
      <c r="A823" s="74"/>
      <c r="B823" s="38"/>
      <c r="C823" s="38"/>
      <c r="D823" s="38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38"/>
      <c r="AM823" s="38"/>
      <c r="AN823" s="75"/>
      <c r="AO823" s="75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  <c r="BP823" s="38"/>
      <c r="BQ823" s="38"/>
      <c r="BR823" s="38"/>
      <c r="BS823" s="38"/>
      <c r="BT823" s="38"/>
      <c r="BU823" s="38"/>
      <c r="BV823" s="38"/>
    </row>
    <row r="824" ht="14.25" customHeight="1">
      <c r="A824" s="74"/>
      <c r="B824" s="38"/>
      <c r="C824" s="38"/>
      <c r="D824" s="38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38"/>
      <c r="AM824" s="38"/>
      <c r="AN824" s="75"/>
      <c r="AO824" s="75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  <c r="BP824" s="38"/>
      <c r="BQ824" s="38"/>
      <c r="BR824" s="38"/>
      <c r="BS824" s="38"/>
      <c r="BT824" s="38"/>
      <c r="BU824" s="38"/>
      <c r="BV824" s="38"/>
    </row>
    <row r="825" ht="14.25" customHeight="1">
      <c r="A825" s="74"/>
      <c r="B825" s="38"/>
      <c r="C825" s="38"/>
      <c r="D825" s="38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38"/>
      <c r="AM825" s="38"/>
      <c r="AN825" s="75"/>
      <c r="AO825" s="75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  <c r="BP825" s="38"/>
      <c r="BQ825" s="38"/>
      <c r="BR825" s="38"/>
      <c r="BS825" s="38"/>
      <c r="BT825" s="38"/>
      <c r="BU825" s="38"/>
      <c r="BV825" s="38"/>
    </row>
    <row r="826" ht="14.25" customHeight="1">
      <c r="A826" s="74"/>
      <c r="B826" s="38"/>
      <c r="C826" s="38"/>
      <c r="D826" s="38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38"/>
      <c r="AM826" s="38"/>
      <c r="AN826" s="75"/>
      <c r="AO826" s="75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  <c r="BP826" s="38"/>
      <c r="BQ826" s="38"/>
      <c r="BR826" s="38"/>
      <c r="BS826" s="38"/>
      <c r="BT826" s="38"/>
      <c r="BU826" s="38"/>
      <c r="BV826" s="38"/>
    </row>
    <row r="827" ht="14.25" customHeight="1">
      <c r="A827" s="74"/>
      <c r="B827" s="38"/>
      <c r="C827" s="38"/>
      <c r="D827" s="38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38"/>
      <c r="AM827" s="38"/>
      <c r="AN827" s="75"/>
      <c r="AO827" s="75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  <c r="BP827" s="38"/>
      <c r="BQ827" s="38"/>
      <c r="BR827" s="38"/>
      <c r="BS827" s="38"/>
      <c r="BT827" s="38"/>
      <c r="BU827" s="38"/>
      <c r="BV827" s="38"/>
    </row>
    <row r="828" ht="14.25" customHeight="1">
      <c r="A828" s="74"/>
      <c r="B828" s="38"/>
      <c r="C828" s="38"/>
      <c r="D828" s="38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38"/>
      <c r="AM828" s="38"/>
      <c r="AN828" s="75"/>
      <c r="AO828" s="75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  <c r="BP828" s="38"/>
      <c r="BQ828" s="38"/>
      <c r="BR828" s="38"/>
      <c r="BS828" s="38"/>
      <c r="BT828" s="38"/>
      <c r="BU828" s="38"/>
      <c r="BV828" s="38"/>
    </row>
    <row r="829" ht="14.25" customHeight="1">
      <c r="A829" s="74"/>
      <c r="B829" s="38"/>
      <c r="C829" s="38"/>
      <c r="D829" s="38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38"/>
      <c r="AM829" s="38"/>
      <c r="AN829" s="75"/>
      <c r="AO829" s="75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  <c r="BP829" s="38"/>
      <c r="BQ829" s="38"/>
      <c r="BR829" s="38"/>
      <c r="BS829" s="38"/>
      <c r="BT829" s="38"/>
      <c r="BU829" s="38"/>
      <c r="BV829" s="38"/>
    </row>
    <row r="830" ht="14.25" customHeight="1">
      <c r="A830" s="74"/>
      <c r="B830" s="38"/>
      <c r="C830" s="38"/>
      <c r="D830" s="38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38"/>
      <c r="AM830" s="38"/>
      <c r="AN830" s="75"/>
      <c r="AO830" s="75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  <c r="BP830" s="38"/>
      <c r="BQ830" s="38"/>
      <c r="BR830" s="38"/>
      <c r="BS830" s="38"/>
      <c r="BT830" s="38"/>
      <c r="BU830" s="38"/>
      <c r="BV830" s="38"/>
    </row>
    <row r="831" ht="14.25" customHeight="1">
      <c r="A831" s="74"/>
      <c r="B831" s="38"/>
      <c r="C831" s="38"/>
      <c r="D831" s="38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38"/>
      <c r="AM831" s="38"/>
      <c r="AN831" s="75"/>
      <c r="AO831" s="75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  <c r="BP831" s="38"/>
      <c r="BQ831" s="38"/>
      <c r="BR831" s="38"/>
      <c r="BS831" s="38"/>
      <c r="BT831" s="38"/>
      <c r="BU831" s="38"/>
      <c r="BV831" s="38"/>
    </row>
    <row r="832" ht="14.25" customHeight="1">
      <c r="A832" s="74"/>
      <c r="B832" s="38"/>
      <c r="C832" s="38"/>
      <c r="D832" s="38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38"/>
      <c r="AM832" s="38"/>
      <c r="AN832" s="75"/>
      <c r="AO832" s="75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  <c r="BP832" s="38"/>
      <c r="BQ832" s="38"/>
      <c r="BR832" s="38"/>
      <c r="BS832" s="38"/>
      <c r="BT832" s="38"/>
      <c r="BU832" s="38"/>
      <c r="BV832" s="38"/>
    </row>
    <row r="833" ht="14.25" customHeight="1">
      <c r="A833" s="74"/>
      <c r="B833" s="38"/>
      <c r="C833" s="38"/>
      <c r="D833" s="38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38"/>
      <c r="AM833" s="38"/>
      <c r="AN833" s="75"/>
      <c r="AO833" s="75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  <c r="BP833" s="38"/>
      <c r="BQ833" s="38"/>
      <c r="BR833" s="38"/>
      <c r="BS833" s="38"/>
      <c r="BT833" s="38"/>
      <c r="BU833" s="38"/>
      <c r="BV833" s="38"/>
    </row>
    <row r="834" ht="14.25" customHeight="1">
      <c r="A834" s="74"/>
      <c r="B834" s="38"/>
      <c r="C834" s="38"/>
      <c r="D834" s="38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38"/>
      <c r="AM834" s="38"/>
      <c r="AN834" s="75"/>
      <c r="AO834" s="75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  <c r="BP834" s="38"/>
      <c r="BQ834" s="38"/>
      <c r="BR834" s="38"/>
      <c r="BS834" s="38"/>
      <c r="BT834" s="38"/>
      <c r="BU834" s="38"/>
      <c r="BV834" s="38"/>
    </row>
    <row r="835" ht="14.25" customHeight="1">
      <c r="A835" s="74"/>
      <c r="B835" s="38"/>
      <c r="C835" s="38"/>
      <c r="D835" s="38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38"/>
      <c r="AM835" s="38"/>
      <c r="AN835" s="75"/>
      <c r="AO835" s="75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  <c r="BP835" s="38"/>
      <c r="BQ835" s="38"/>
      <c r="BR835" s="38"/>
      <c r="BS835" s="38"/>
      <c r="BT835" s="38"/>
      <c r="BU835" s="38"/>
      <c r="BV835" s="38"/>
    </row>
    <row r="836" ht="14.25" customHeight="1">
      <c r="A836" s="74"/>
      <c r="B836" s="38"/>
      <c r="C836" s="38"/>
      <c r="D836" s="38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38"/>
      <c r="AM836" s="38"/>
      <c r="AN836" s="75"/>
      <c r="AO836" s="75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  <c r="BP836" s="38"/>
      <c r="BQ836" s="38"/>
      <c r="BR836" s="38"/>
      <c r="BS836" s="38"/>
      <c r="BT836" s="38"/>
      <c r="BU836" s="38"/>
      <c r="BV836" s="38"/>
    </row>
    <row r="837" ht="14.25" customHeight="1">
      <c r="A837" s="74"/>
      <c r="B837" s="38"/>
      <c r="C837" s="38"/>
      <c r="D837" s="38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38"/>
      <c r="AM837" s="38"/>
      <c r="AN837" s="75"/>
      <c r="AO837" s="75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  <c r="BP837" s="38"/>
      <c r="BQ837" s="38"/>
      <c r="BR837" s="38"/>
      <c r="BS837" s="38"/>
      <c r="BT837" s="38"/>
      <c r="BU837" s="38"/>
      <c r="BV837" s="38"/>
    </row>
    <row r="838" ht="14.25" customHeight="1">
      <c r="A838" s="74"/>
      <c r="B838" s="38"/>
      <c r="C838" s="38"/>
      <c r="D838" s="38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38"/>
      <c r="AM838" s="38"/>
      <c r="AN838" s="75"/>
      <c r="AO838" s="75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  <c r="BP838" s="38"/>
      <c r="BQ838" s="38"/>
      <c r="BR838" s="38"/>
      <c r="BS838" s="38"/>
      <c r="BT838" s="38"/>
      <c r="BU838" s="38"/>
      <c r="BV838" s="38"/>
    </row>
    <row r="839" ht="14.25" customHeight="1">
      <c r="A839" s="74"/>
      <c r="B839" s="38"/>
      <c r="C839" s="38"/>
      <c r="D839" s="38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38"/>
      <c r="AM839" s="38"/>
      <c r="AN839" s="75"/>
      <c r="AO839" s="75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  <c r="BP839" s="38"/>
      <c r="BQ839" s="38"/>
      <c r="BR839" s="38"/>
      <c r="BS839" s="38"/>
      <c r="BT839" s="38"/>
      <c r="BU839" s="38"/>
      <c r="BV839" s="38"/>
    </row>
    <row r="840" ht="14.25" customHeight="1">
      <c r="A840" s="74"/>
      <c r="B840" s="38"/>
      <c r="C840" s="38"/>
      <c r="D840" s="38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38"/>
      <c r="AM840" s="38"/>
      <c r="AN840" s="75"/>
      <c r="AO840" s="75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  <c r="BP840" s="38"/>
      <c r="BQ840" s="38"/>
      <c r="BR840" s="38"/>
      <c r="BS840" s="38"/>
      <c r="BT840" s="38"/>
      <c r="BU840" s="38"/>
      <c r="BV840" s="38"/>
    </row>
    <row r="841" ht="14.25" customHeight="1">
      <c r="A841" s="74"/>
      <c r="B841" s="38"/>
      <c r="C841" s="38"/>
      <c r="D841" s="38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38"/>
      <c r="AM841" s="38"/>
      <c r="AN841" s="75"/>
      <c r="AO841" s="75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  <c r="BP841" s="38"/>
      <c r="BQ841" s="38"/>
      <c r="BR841" s="38"/>
      <c r="BS841" s="38"/>
      <c r="BT841" s="38"/>
      <c r="BU841" s="38"/>
      <c r="BV841" s="38"/>
    </row>
    <row r="842" ht="14.25" customHeight="1">
      <c r="A842" s="74"/>
      <c r="B842" s="38"/>
      <c r="C842" s="38"/>
      <c r="D842" s="38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38"/>
      <c r="AM842" s="38"/>
      <c r="AN842" s="75"/>
      <c r="AO842" s="75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  <c r="BP842" s="38"/>
      <c r="BQ842" s="38"/>
      <c r="BR842" s="38"/>
      <c r="BS842" s="38"/>
      <c r="BT842" s="38"/>
      <c r="BU842" s="38"/>
      <c r="BV842" s="38"/>
    </row>
    <row r="843" ht="14.25" customHeight="1">
      <c r="A843" s="74"/>
      <c r="B843" s="38"/>
      <c r="C843" s="38"/>
      <c r="D843" s="38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38"/>
      <c r="AM843" s="38"/>
      <c r="AN843" s="75"/>
      <c r="AO843" s="75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  <c r="BP843" s="38"/>
      <c r="BQ843" s="38"/>
      <c r="BR843" s="38"/>
      <c r="BS843" s="38"/>
      <c r="BT843" s="38"/>
      <c r="BU843" s="38"/>
      <c r="BV843" s="38"/>
    </row>
    <row r="844" ht="14.25" customHeight="1">
      <c r="A844" s="74"/>
      <c r="B844" s="38"/>
      <c r="C844" s="38"/>
      <c r="D844" s="38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38"/>
      <c r="AM844" s="38"/>
      <c r="AN844" s="75"/>
      <c r="AO844" s="75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  <c r="BP844" s="38"/>
      <c r="BQ844" s="38"/>
      <c r="BR844" s="38"/>
      <c r="BS844" s="38"/>
      <c r="BT844" s="38"/>
      <c r="BU844" s="38"/>
      <c r="BV844" s="38"/>
    </row>
    <row r="845" ht="14.25" customHeight="1">
      <c r="A845" s="74"/>
      <c r="B845" s="38"/>
      <c r="C845" s="38"/>
      <c r="D845" s="38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38"/>
      <c r="AM845" s="38"/>
      <c r="AN845" s="75"/>
      <c r="AO845" s="75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  <c r="BP845" s="38"/>
      <c r="BQ845" s="38"/>
      <c r="BR845" s="38"/>
      <c r="BS845" s="38"/>
      <c r="BT845" s="38"/>
      <c r="BU845" s="38"/>
      <c r="BV845" s="38"/>
    </row>
    <row r="846" ht="14.25" customHeight="1">
      <c r="A846" s="74"/>
      <c r="B846" s="38"/>
      <c r="C846" s="38"/>
      <c r="D846" s="38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38"/>
      <c r="AM846" s="38"/>
      <c r="AN846" s="75"/>
      <c r="AO846" s="75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  <c r="BP846" s="38"/>
      <c r="BQ846" s="38"/>
      <c r="BR846" s="38"/>
      <c r="BS846" s="38"/>
      <c r="BT846" s="38"/>
      <c r="BU846" s="38"/>
      <c r="BV846" s="38"/>
    </row>
    <row r="847" ht="14.25" customHeight="1">
      <c r="A847" s="74"/>
      <c r="B847" s="38"/>
      <c r="C847" s="38"/>
      <c r="D847" s="38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38"/>
      <c r="AM847" s="38"/>
      <c r="AN847" s="75"/>
      <c r="AO847" s="75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  <c r="BP847" s="38"/>
      <c r="BQ847" s="38"/>
      <c r="BR847" s="38"/>
      <c r="BS847" s="38"/>
      <c r="BT847" s="38"/>
      <c r="BU847" s="38"/>
      <c r="BV847" s="38"/>
    </row>
    <row r="848" ht="14.25" customHeight="1">
      <c r="A848" s="74"/>
      <c r="B848" s="38"/>
      <c r="C848" s="38"/>
      <c r="D848" s="38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38"/>
      <c r="AM848" s="38"/>
      <c r="AN848" s="75"/>
      <c r="AO848" s="75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  <c r="BP848" s="38"/>
      <c r="BQ848" s="38"/>
      <c r="BR848" s="38"/>
      <c r="BS848" s="38"/>
      <c r="BT848" s="38"/>
      <c r="BU848" s="38"/>
      <c r="BV848" s="38"/>
    </row>
    <row r="849" ht="14.25" customHeight="1">
      <c r="A849" s="74"/>
      <c r="B849" s="38"/>
      <c r="C849" s="38"/>
      <c r="D849" s="38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38"/>
      <c r="AM849" s="38"/>
      <c r="AN849" s="75"/>
      <c r="AO849" s="75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  <c r="BP849" s="38"/>
      <c r="BQ849" s="38"/>
      <c r="BR849" s="38"/>
      <c r="BS849" s="38"/>
      <c r="BT849" s="38"/>
      <c r="BU849" s="38"/>
      <c r="BV849" s="38"/>
    </row>
    <row r="850" ht="14.25" customHeight="1">
      <c r="A850" s="74"/>
      <c r="B850" s="38"/>
      <c r="C850" s="38"/>
      <c r="D850" s="38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38"/>
      <c r="AM850" s="38"/>
      <c r="AN850" s="75"/>
      <c r="AO850" s="75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  <c r="BP850" s="38"/>
      <c r="BQ850" s="38"/>
      <c r="BR850" s="38"/>
      <c r="BS850" s="38"/>
      <c r="BT850" s="38"/>
      <c r="BU850" s="38"/>
      <c r="BV850" s="38"/>
    </row>
    <row r="851" ht="14.25" customHeight="1">
      <c r="A851" s="74"/>
      <c r="B851" s="38"/>
      <c r="C851" s="38"/>
      <c r="D851" s="38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38"/>
      <c r="AM851" s="38"/>
      <c r="AN851" s="75"/>
      <c r="AO851" s="75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  <c r="BP851" s="38"/>
      <c r="BQ851" s="38"/>
      <c r="BR851" s="38"/>
      <c r="BS851" s="38"/>
      <c r="BT851" s="38"/>
      <c r="BU851" s="38"/>
      <c r="BV851" s="38"/>
    </row>
    <row r="852" ht="14.25" customHeight="1">
      <c r="A852" s="74"/>
      <c r="B852" s="38"/>
      <c r="C852" s="38"/>
      <c r="D852" s="38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38"/>
      <c r="AM852" s="38"/>
      <c r="AN852" s="75"/>
      <c r="AO852" s="75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  <c r="BP852" s="38"/>
      <c r="BQ852" s="38"/>
      <c r="BR852" s="38"/>
      <c r="BS852" s="38"/>
      <c r="BT852" s="38"/>
      <c r="BU852" s="38"/>
      <c r="BV852" s="38"/>
    </row>
    <row r="853" ht="14.25" customHeight="1">
      <c r="A853" s="74"/>
      <c r="B853" s="38"/>
      <c r="C853" s="38"/>
      <c r="D853" s="38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38"/>
      <c r="AM853" s="38"/>
      <c r="AN853" s="75"/>
      <c r="AO853" s="75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  <c r="BP853" s="38"/>
      <c r="BQ853" s="38"/>
      <c r="BR853" s="38"/>
      <c r="BS853" s="38"/>
      <c r="BT853" s="38"/>
      <c r="BU853" s="38"/>
      <c r="BV853" s="38"/>
    </row>
    <row r="854" ht="14.25" customHeight="1">
      <c r="A854" s="74"/>
      <c r="B854" s="38"/>
      <c r="C854" s="38"/>
      <c r="D854" s="38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38"/>
      <c r="AM854" s="38"/>
      <c r="AN854" s="75"/>
      <c r="AO854" s="75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  <c r="BP854" s="38"/>
      <c r="BQ854" s="38"/>
      <c r="BR854" s="38"/>
      <c r="BS854" s="38"/>
      <c r="BT854" s="38"/>
      <c r="BU854" s="38"/>
      <c r="BV854" s="38"/>
    </row>
    <row r="855" ht="14.25" customHeight="1">
      <c r="A855" s="74"/>
      <c r="B855" s="38"/>
      <c r="C855" s="38"/>
      <c r="D855" s="38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38"/>
      <c r="AM855" s="38"/>
      <c r="AN855" s="75"/>
      <c r="AO855" s="75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  <c r="BP855" s="38"/>
      <c r="BQ855" s="38"/>
      <c r="BR855" s="38"/>
      <c r="BS855" s="38"/>
      <c r="BT855" s="38"/>
      <c r="BU855" s="38"/>
      <c r="BV855" s="38"/>
    </row>
    <row r="856" ht="14.25" customHeight="1">
      <c r="A856" s="74"/>
      <c r="B856" s="38"/>
      <c r="C856" s="38"/>
      <c r="D856" s="38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38"/>
      <c r="AM856" s="38"/>
      <c r="AN856" s="75"/>
      <c r="AO856" s="75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  <c r="BP856" s="38"/>
      <c r="BQ856" s="38"/>
      <c r="BR856" s="38"/>
      <c r="BS856" s="38"/>
      <c r="BT856" s="38"/>
      <c r="BU856" s="38"/>
      <c r="BV856" s="38"/>
    </row>
    <row r="857" ht="14.25" customHeight="1">
      <c r="A857" s="74"/>
      <c r="B857" s="38"/>
      <c r="C857" s="38"/>
      <c r="D857" s="38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38"/>
      <c r="AM857" s="38"/>
      <c r="AN857" s="75"/>
      <c r="AO857" s="75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  <c r="BP857" s="38"/>
      <c r="BQ857" s="38"/>
      <c r="BR857" s="38"/>
      <c r="BS857" s="38"/>
      <c r="BT857" s="38"/>
      <c r="BU857" s="38"/>
      <c r="BV857" s="38"/>
    </row>
    <row r="858" ht="14.25" customHeight="1">
      <c r="A858" s="74"/>
      <c r="B858" s="38"/>
      <c r="C858" s="38"/>
      <c r="D858" s="38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38"/>
      <c r="AM858" s="38"/>
      <c r="AN858" s="75"/>
      <c r="AO858" s="75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  <c r="BP858" s="38"/>
      <c r="BQ858" s="38"/>
      <c r="BR858" s="38"/>
      <c r="BS858" s="38"/>
      <c r="BT858" s="38"/>
      <c r="BU858" s="38"/>
      <c r="BV858" s="38"/>
    </row>
    <row r="859" ht="14.25" customHeight="1">
      <c r="A859" s="74"/>
      <c r="B859" s="38"/>
      <c r="C859" s="38"/>
      <c r="D859" s="38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38"/>
      <c r="AM859" s="38"/>
      <c r="AN859" s="75"/>
      <c r="AO859" s="75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  <c r="BP859" s="38"/>
      <c r="BQ859" s="38"/>
      <c r="BR859" s="38"/>
      <c r="BS859" s="38"/>
      <c r="BT859" s="38"/>
      <c r="BU859" s="38"/>
      <c r="BV859" s="38"/>
    </row>
    <row r="860" ht="14.25" customHeight="1">
      <c r="A860" s="74"/>
      <c r="B860" s="38"/>
      <c r="C860" s="38"/>
      <c r="D860" s="38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38"/>
      <c r="AM860" s="38"/>
      <c r="AN860" s="75"/>
      <c r="AO860" s="75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  <c r="BP860" s="38"/>
      <c r="BQ860" s="38"/>
      <c r="BR860" s="38"/>
      <c r="BS860" s="38"/>
      <c r="BT860" s="38"/>
      <c r="BU860" s="38"/>
      <c r="BV860" s="38"/>
    </row>
    <row r="861" ht="14.25" customHeight="1">
      <c r="A861" s="74"/>
      <c r="B861" s="38"/>
      <c r="C861" s="38"/>
      <c r="D861" s="38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38"/>
      <c r="AM861" s="38"/>
      <c r="AN861" s="75"/>
      <c r="AO861" s="75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  <c r="BP861" s="38"/>
      <c r="BQ861" s="38"/>
      <c r="BR861" s="38"/>
      <c r="BS861" s="38"/>
      <c r="BT861" s="38"/>
      <c r="BU861" s="38"/>
      <c r="BV861" s="38"/>
    </row>
    <row r="862" ht="14.25" customHeight="1">
      <c r="A862" s="74"/>
      <c r="B862" s="38"/>
      <c r="C862" s="38"/>
      <c r="D862" s="38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38"/>
      <c r="AM862" s="38"/>
      <c r="AN862" s="75"/>
      <c r="AO862" s="75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  <c r="BP862" s="38"/>
      <c r="BQ862" s="38"/>
      <c r="BR862" s="38"/>
      <c r="BS862" s="38"/>
      <c r="BT862" s="38"/>
      <c r="BU862" s="38"/>
      <c r="BV862" s="38"/>
    </row>
    <row r="863" ht="14.25" customHeight="1">
      <c r="A863" s="74"/>
      <c r="B863" s="38"/>
      <c r="C863" s="38"/>
      <c r="D863" s="38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38"/>
      <c r="AM863" s="38"/>
      <c r="AN863" s="75"/>
      <c r="AO863" s="75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  <c r="BP863" s="38"/>
      <c r="BQ863" s="38"/>
      <c r="BR863" s="38"/>
      <c r="BS863" s="38"/>
      <c r="BT863" s="38"/>
      <c r="BU863" s="38"/>
      <c r="BV863" s="38"/>
    </row>
    <row r="864" ht="14.25" customHeight="1">
      <c r="A864" s="74"/>
      <c r="B864" s="38"/>
      <c r="C864" s="38"/>
      <c r="D864" s="38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38"/>
      <c r="AM864" s="38"/>
      <c r="AN864" s="75"/>
      <c r="AO864" s="75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  <c r="BP864" s="38"/>
      <c r="BQ864" s="38"/>
      <c r="BR864" s="38"/>
      <c r="BS864" s="38"/>
      <c r="BT864" s="38"/>
      <c r="BU864" s="38"/>
      <c r="BV864" s="38"/>
    </row>
    <row r="865" ht="14.25" customHeight="1">
      <c r="A865" s="74"/>
      <c r="B865" s="38"/>
      <c r="C865" s="38"/>
      <c r="D865" s="38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38"/>
      <c r="AM865" s="38"/>
      <c r="AN865" s="75"/>
      <c r="AO865" s="75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  <c r="BP865" s="38"/>
      <c r="BQ865" s="38"/>
      <c r="BR865" s="38"/>
      <c r="BS865" s="38"/>
      <c r="BT865" s="38"/>
      <c r="BU865" s="38"/>
      <c r="BV865" s="38"/>
    </row>
    <row r="866" ht="14.25" customHeight="1">
      <c r="A866" s="74"/>
      <c r="B866" s="38"/>
      <c r="C866" s="38"/>
      <c r="D866" s="38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38"/>
      <c r="AM866" s="38"/>
      <c r="AN866" s="75"/>
      <c r="AO866" s="75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  <c r="BP866" s="38"/>
      <c r="BQ866" s="38"/>
      <c r="BR866" s="38"/>
      <c r="BS866" s="38"/>
      <c r="BT866" s="38"/>
      <c r="BU866" s="38"/>
      <c r="BV866" s="38"/>
    </row>
    <row r="867" ht="14.25" customHeight="1">
      <c r="A867" s="74"/>
      <c r="B867" s="38"/>
      <c r="C867" s="38"/>
      <c r="D867" s="38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38"/>
      <c r="AM867" s="38"/>
      <c r="AN867" s="75"/>
      <c r="AO867" s="75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  <c r="BP867" s="38"/>
      <c r="BQ867" s="38"/>
      <c r="BR867" s="38"/>
      <c r="BS867" s="38"/>
      <c r="BT867" s="38"/>
      <c r="BU867" s="38"/>
      <c r="BV867" s="38"/>
    </row>
    <row r="868" ht="14.25" customHeight="1">
      <c r="A868" s="74"/>
      <c r="B868" s="38"/>
      <c r="C868" s="38"/>
      <c r="D868" s="38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38"/>
      <c r="AM868" s="38"/>
      <c r="AN868" s="75"/>
      <c r="AO868" s="75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  <c r="BP868" s="38"/>
      <c r="BQ868" s="38"/>
      <c r="BR868" s="38"/>
      <c r="BS868" s="38"/>
      <c r="BT868" s="38"/>
      <c r="BU868" s="38"/>
      <c r="BV868" s="38"/>
    </row>
    <row r="869" ht="14.25" customHeight="1">
      <c r="A869" s="74"/>
      <c r="B869" s="38"/>
      <c r="C869" s="38"/>
      <c r="D869" s="38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38"/>
      <c r="AM869" s="38"/>
      <c r="AN869" s="75"/>
      <c r="AO869" s="75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  <c r="BP869" s="38"/>
      <c r="BQ869" s="38"/>
      <c r="BR869" s="38"/>
      <c r="BS869" s="38"/>
      <c r="BT869" s="38"/>
      <c r="BU869" s="38"/>
      <c r="BV869" s="38"/>
    </row>
    <row r="870" ht="14.25" customHeight="1">
      <c r="A870" s="74"/>
      <c r="B870" s="38"/>
      <c r="C870" s="38"/>
      <c r="D870" s="38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38"/>
      <c r="AM870" s="38"/>
      <c r="AN870" s="75"/>
      <c r="AO870" s="75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  <c r="BP870" s="38"/>
      <c r="BQ870" s="38"/>
      <c r="BR870" s="38"/>
      <c r="BS870" s="38"/>
      <c r="BT870" s="38"/>
      <c r="BU870" s="38"/>
      <c r="BV870" s="38"/>
    </row>
    <row r="871" ht="14.25" customHeight="1">
      <c r="A871" s="74"/>
      <c r="B871" s="38"/>
      <c r="C871" s="38"/>
      <c r="D871" s="38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38"/>
      <c r="AM871" s="38"/>
      <c r="AN871" s="75"/>
      <c r="AO871" s="75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  <c r="BP871" s="38"/>
      <c r="BQ871" s="38"/>
      <c r="BR871" s="38"/>
      <c r="BS871" s="38"/>
      <c r="BT871" s="38"/>
      <c r="BU871" s="38"/>
      <c r="BV871" s="38"/>
    </row>
    <row r="872" ht="14.25" customHeight="1">
      <c r="A872" s="74"/>
      <c r="B872" s="38"/>
      <c r="C872" s="38"/>
      <c r="D872" s="38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38"/>
      <c r="AM872" s="38"/>
      <c r="AN872" s="75"/>
      <c r="AO872" s="75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  <c r="BP872" s="38"/>
      <c r="BQ872" s="38"/>
      <c r="BR872" s="38"/>
      <c r="BS872" s="38"/>
      <c r="BT872" s="38"/>
      <c r="BU872" s="38"/>
      <c r="BV872" s="38"/>
    </row>
    <row r="873" ht="14.25" customHeight="1">
      <c r="A873" s="74"/>
      <c r="B873" s="38"/>
      <c r="C873" s="38"/>
      <c r="D873" s="38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38"/>
      <c r="AM873" s="38"/>
      <c r="AN873" s="75"/>
      <c r="AO873" s="75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  <c r="BP873" s="38"/>
      <c r="BQ873" s="38"/>
      <c r="BR873" s="38"/>
      <c r="BS873" s="38"/>
      <c r="BT873" s="38"/>
      <c r="BU873" s="38"/>
      <c r="BV873" s="38"/>
    </row>
    <row r="874" ht="14.25" customHeight="1">
      <c r="A874" s="74"/>
      <c r="B874" s="38"/>
      <c r="C874" s="38"/>
      <c r="D874" s="38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38"/>
      <c r="AM874" s="38"/>
      <c r="AN874" s="75"/>
      <c r="AO874" s="75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  <c r="BP874" s="38"/>
      <c r="BQ874" s="38"/>
      <c r="BR874" s="38"/>
      <c r="BS874" s="38"/>
      <c r="BT874" s="38"/>
      <c r="BU874" s="38"/>
      <c r="BV874" s="38"/>
    </row>
    <row r="875" ht="14.25" customHeight="1">
      <c r="A875" s="74"/>
      <c r="B875" s="38"/>
      <c r="C875" s="38"/>
      <c r="D875" s="38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38"/>
      <c r="AM875" s="38"/>
      <c r="AN875" s="75"/>
      <c r="AO875" s="75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  <c r="BP875" s="38"/>
      <c r="BQ875" s="38"/>
      <c r="BR875" s="38"/>
      <c r="BS875" s="38"/>
      <c r="BT875" s="38"/>
      <c r="BU875" s="38"/>
      <c r="BV875" s="38"/>
    </row>
    <row r="876" ht="14.25" customHeight="1">
      <c r="A876" s="74"/>
      <c r="B876" s="38"/>
      <c r="C876" s="38"/>
      <c r="D876" s="38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38"/>
      <c r="AM876" s="38"/>
      <c r="AN876" s="75"/>
      <c r="AO876" s="75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  <c r="BP876" s="38"/>
      <c r="BQ876" s="38"/>
      <c r="BR876" s="38"/>
      <c r="BS876" s="38"/>
      <c r="BT876" s="38"/>
      <c r="BU876" s="38"/>
      <c r="BV876" s="38"/>
    </row>
    <row r="877" ht="14.25" customHeight="1">
      <c r="A877" s="74"/>
      <c r="B877" s="38"/>
      <c r="C877" s="38"/>
      <c r="D877" s="38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38"/>
      <c r="AM877" s="38"/>
      <c r="AN877" s="75"/>
      <c r="AO877" s="75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  <c r="BP877" s="38"/>
      <c r="BQ877" s="38"/>
      <c r="BR877" s="38"/>
      <c r="BS877" s="38"/>
      <c r="BT877" s="38"/>
      <c r="BU877" s="38"/>
      <c r="BV877" s="38"/>
    </row>
    <row r="878" ht="14.25" customHeight="1">
      <c r="A878" s="74"/>
      <c r="B878" s="38"/>
      <c r="C878" s="38"/>
      <c r="D878" s="38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38"/>
      <c r="AM878" s="38"/>
      <c r="AN878" s="75"/>
      <c r="AO878" s="75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  <c r="BP878" s="38"/>
      <c r="BQ878" s="38"/>
      <c r="BR878" s="38"/>
      <c r="BS878" s="38"/>
      <c r="BT878" s="38"/>
      <c r="BU878" s="38"/>
      <c r="BV878" s="38"/>
    </row>
    <row r="879" ht="14.25" customHeight="1">
      <c r="A879" s="74"/>
      <c r="B879" s="38"/>
      <c r="C879" s="38"/>
      <c r="D879" s="38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38"/>
      <c r="AM879" s="38"/>
      <c r="AN879" s="75"/>
      <c r="AO879" s="75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  <c r="BP879" s="38"/>
      <c r="BQ879" s="38"/>
      <c r="BR879" s="38"/>
      <c r="BS879" s="38"/>
      <c r="BT879" s="38"/>
      <c r="BU879" s="38"/>
      <c r="BV879" s="38"/>
    </row>
    <row r="880" ht="14.25" customHeight="1">
      <c r="A880" s="74"/>
      <c r="B880" s="38"/>
      <c r="C880" s="38"/>
      <c r="D880" s="38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38"/>
      <c r="AM880" s="38"/>
      <c r="AN880" s="75"/>
      <c r="AO880" s="75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  <c r="BP880" s="38"/>
      <c r="BQ880" s="38"/>
      <c r="BR880" s="38"/>
      <c r="BS880" s="38"/>
      <c r="BT880" s="38"/>
      <c r="BU880" s="38"/>
      <c r="BV880" s="38"/>
    </row>
    <row r="881" ht="14.25" customHeight="1">
      <c r="A881" s="74"/>
      <c r="B881" s="38"/>
      <c r="C881" s="38"/>
      <c r="D881" s="38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38"/>
      <c r="AM881" s="38"/>
      <c r="AN881" s="75"/>
      <c r="AO881" s="75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  <c r="BP881" s="38"/>
      <c r="BQ881" s="38"/>
      <c r="BR881" s="38"/>
      <c r="BS881" s="38"/>
      <c r="BT881" s="38"/>
      <c r="BU881" s="38"/>
      <c r="BV881" s="38"/>
    </row>
    <row r="882" ht="14.25" customHeight="1">
      <c r="A882" s="74"/>
      <c r="B882" s="38"/>
      <c r="C882" s="38"/>
      <c r="D882" s="38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38"/>
      <c r="AM882" s="38"/>
      <c r="AN882" s="75"/>
      <c r="AO882" s="75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  <c r="BP882" s="38"/>
      <c r="BQ882" s="38"/>
      <c r="BR882" s="38"/>
      <c r="BS882" s="38"/>
      <c r="BT882" s="38"/>
      <c r="BU882" s="38"/>
      <c r="BV882" s="38"/>
    </row>
    <row r="883" ht="14.25" customHeight="1">
      <c r="A883" s="74"/>
      <c r="B883" s="38"/>
      <c r="C883" s="38"/>
      <c r="D883" s="38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38"/>
      <c r="AM883" s="38"/>
      <c r="AN883" s="75"/>
      <c r="AO883" s="75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  <c r="BP883" s="38"/>
      <c r="BQ883" s="38"/>
      <c r="BR883" s="38"/>
      <c r="BS883" s="38"/>
      <c r="BT883" s="38"/>
      <c r="BU883" s="38"/>
      <c r="BV883" s="38"/>
    </row>
    <row r="884" ht="14.25" customHeight="1">
      <c r="A884" s="74"/>
      <c r="B884" s="38"/>
      <c r="C884" s="38"/>
      <c r="D884" s="38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38"/>
      <c r="AM884" s="38"/>
      <c r="AN884" s="75"/>
      <c r="AO884" s="75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  <c r="BP884" s="38"/>
      <c r="BQ884" s="38"/>
      <c r="BR884" s="38"/>
      <c r="BS884" s="38"/>
      <c r="BT884" s="38"/>
      <c r="BU884" s="38"/>
      <c r="BV884" s="38"/>
    </row>
    <row r="885" ht="14.25" customHeight="1">
      <c r="A885" s="74"/>
      <c r="B885" s="38"/>
      <c r="C885" s="38"/>
      <c r="D885" s="38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38"/>
      <c r="AM885" s="38"/>
      <c r="AN885" s="75"/>
      <c r="AO885" s="75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  <c r="BP885" s="38"/>
      <c r="BQ885" s="38"/>
      <c r="BR885" s="38"/>
      <c r="BS885" s="38"/>
      <c r="BT885" s="38"/>
      <c r="BU885" s="38"/>
      <c r="BV885" s="38"/>
    </row>
    <row r="886" ht="14.25" customHeight="1">
      <c r="A886" s="74"/>
      <c r="B886" s="38"/>
      <c r="C886" s="38"/>
      <c r="D886" s="38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38"/>
      <c r="AM886" s="38"/>
      <c r="AN886" s="75"/>
      <c r="AO886" s="75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  <c r="BP886" s="38"/>
      <c r="BQ886" s="38"/>
      <c r="BR886" s="38"/>
      <c r="BS886" s="38"/>
      <c r="BT886" s="38"/>
      <c r="BU886" s="38"/>
      <c r="BV886" s="38"/>
    </row>
    <row r="887" ht="14.25" customHeight="1">
      <c r="A887" s="74"/>
      <c r="B887" s="38"/>
      <c r="C887" s="38"/>
      <c r="D887" s="38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38"/>
      <c r="AM887" s="38"/>
      <c r="AN887" s="75"/>
      <c r="AO887" s="75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  <c r="BP887" s="38"/>
      <c r="BQ887" s="38"/>
      <c r="BR887" s="38"/>
      <c r="BS887" s="38"/>
      <c r="BT887" s="38"/>
      <c r="BU887" s="38"/>
      <c r="BV887" s="38"/>
    </row>
    <row r="888" ht="14.25" customHeight="1">
      <c r="A888" s="74"/>
      <c r="B888" s="38"/>
      <c r="C888" s="38"/>
      <c r="D888" s="38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38"/>
      <c r="AM888" s="38"/>
      <c r="AN888" s="75"/>
      <c r="AO888" s="75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  <c r="BP888" s="38"/>
      <c r="BQ888" s="38"/>
      <c r="BR888" s="38"/>
      <c r="BS888" s="38"/>
      <c r="BT888" s="38"/>
      <c r="BU888" s="38"/>
      <c r="BV888" s="38"/>
    </row>
    <row r="889" ht="14.25" customHeight="1">
      <c r="A889" s="74"/>
      <c r="B889" s="38"/>
      <c r="C889" s="38"/>
      <c r="D889" s="38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38"/>
      <c r="AM889" s="38"/>
      <c r="AN889" s="75"/>
      <c r="AO889" s="75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  <c r="BP889" s="38"/>
      <c r="BQ889" s="38"/>
      <c r="BR889" s="38"/>
      <c r="BS889" s="38"/>
      <c r="BT889" s="38"/>
      <c r="BU889" s="38"/>
      <c r="BV889" s="38"/>
    </row>
    <row r="890" ht="14.25" customHeight="1">
      <c r="A890" s="74"/>
      <c r="B890" s="38"/>
      <c r="C890" s="38"/>
      <c r="D890" s="38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38"/>
      <c r="AM890" s="38"/>
      <c r="AN890" s="75"/>
      <c r="AO890" s="75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  <c r="BP890" s="38"/>
      <c r="BQ890" s="38"/>
      <c r="BR890" s="38"/>
      <c r="BS890" s="38"/>
      <c r="BT890" s="38"/>
      <c r="BU890" s="38"/>
      <c r="BV890" s="38"/>
    </row>
    <row r="891" ht="14.25" customHeight="1">
      <c r="A891" s="74"/>
      <c r="B891" s="38"/>
      <c r="C891" s="38"/>
      <c r="D891" s="38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38"/>
      <c r="AM891" s="38"/>
      <c r="AN891" s="75"/>
      <c r="AO891" s="75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  <c r="BP891" s="38"/>
      <c r="BQ891" s="38"/>
      <c r="BR891" s="38"/>
      <c r="BS891" s="38"/>
      <c r="BT891" s="38"/>
      <c r="BU891" s="38"/>
      <c r="BV891" s="38"/>
    </row>
    <row r="892" ht="14.25" customHeight="1">
      <c r="A892" s="74"/>
      <c r="B892" s="38"/>
      <c r="C892" s="38"/>
      <c r="D892" s="38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38"/>
      <c r="AM892" s="38"/>
      <c r="AN892" s="75"/>
      <c r="AO892" s="75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  <c r="BP892" s="38"/>
      <c r="BQ892" s="38"/>
      <c r="BR892" s="38"/>
      <c r="BS892" s="38"/>
      <c r="BT892" s="38"/>
      <c r="BU892" s="38"/>
      <c r="BV892" s="38"/>
    </row>
    <row r="893" ht="14.25" customHeight="1">
      <c r="A893" s="74"/>
      <c r="B893" s="38"/>
      <c r="C893" s="38"/>
      <c r="D893" s="38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38"/>
      <c r="AM893" s="38"/>
      <c r="AN893" s="75"/>
      <c r="AO893" s="75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  <c r="BP893" s="38"/>
      <c r="BQ893" s="38"/>
      <c r="BR893" s="38"/>
      <c r="BS893" s="38"/>
      <c r="BT893" s="38"/>
      <c r="BU893" s="38"/>
      <c r="BV893" s="38"/>
    </row>
    <row r="894" ht="14.25" customHeight="1">
      <c r="A894" s="74"/>
      <c r="B894" s="38"/>
      <c r="C894" s="38"/>
      <c r="D894" s="38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38"/>
      <c r="AM894" s="38"/>
      <c r="AN894" s="75"/>
      <c r="AO894" s="75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  <c r="BP894" s="38"/>
      <c r="BQ894" s="38"/>
      <c r="BR894" s="38"/>
      <c r="BS894" s="38"/>
      <c r="BT894" s="38"/>
      <c r="BU894" s="38"/>
      <c r="BV894" s="38"/>
    </row>
    <row r="895" ht="14.25" customHeight="1">
      <c r="A895" s="74"/>
      <c r="B895" s="38"/>
      <c r="C895" s="38"/>
      <c r="D895" s="38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38"/>
      <c r="AM895" s="38"/>
      <c r="AN895" s="75"/>
      <c r="AO895" s="75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  <c r="BP895" s="38"/>
      <c r="BQ895" s="38"/>
      <c r="BR895" s="38"/>
      <c r="BS895" s="38"/>
      <c r="BT895" s="38"/>
      <c r="BU895" s="38"/>
      <c r="BV895" s="38"/>
    </row>
    <row r="896" ht="14.25" customHeight="1">
      <c r="A896" s="74"/>
      <c r="B896" s="38"/>
      <c r="C896" s="38"/>
      <c r="D896" s="38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38"/>
      <c r="AM896" s="38"/>
      <c r="AN896" s="75"/>
      <c r="AO896" s="75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  <c r="BP896" s="38"/>
      <c r="BQ896" s="38"/>
      <c r="BR896" s="38"/>
      <c r="BS896" s="38"/>
      <c r="BT896" s="38"/>
      <c r="BU896" s="38"/>
      <c r="BV896" s="38"/>
    </row>
    <row r="897" ht="14.25" customHeight="1">
      <c r="A897" s="74"/>
      <c r="B897" s="38"/>
      <c r="C897" s="38"/>
      <c r="D897" s="38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38"/>
      <c r="AM897" s="38"/>
      <c r="AN897" s="75"/>
      <c r="AO897" s="75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  <c r="BP897" s="38"/>
      <c r="BQ897" s="38"/>
      <c r="BR897" s="38"/>
      <c r="BS897" s="38"/>
      <c r="BT897" s="38"/>
      <c r="BU897" s="38"/>
      <c r="BV897" s="38"/>
    </row>
    <row r="898" ht="14.25" customHeight="1">
      <c r="A898" s="74"/>
      <c r="B898" s="38"/>
      <c r="C898" s="38"/>
      <c r="D898" s="38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38"/>
      <c r="AM898" s="38"/>
      <c r="AN898" s="75"/>
      <c r="AO898" s="75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  <c r="BP898" s="38"/>
      <c r="BQ898" s="38"/>
      <c r="BR898" s="38"/>
      <c r="BS898" s="38"/>
      <c r="BT898" s="38"/>
      <c r="BU898" s="38"/>
      <c r="BV898" s="38"/>
    </row>
    <row r="899" ht="14.25" customHeight="1">
      <c r="A899" s="74"/>
      <c r="B899" s="38"/>
      <c r="C899" s="38"/>
      <c r="D899" s="38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38"/>
      <c r="AM899" s="38"/>
      <c r="AN899" s="75"/>
      <c r="AO899" s="75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  <c r="BP899" s="38"/>
      <c r="BQ899" s="38"/>
      <c r="BR899" s="38"/>
      <c r="BS899" s="38"/>
      <c r="BT899" s="38"/>
      <c r="BU899" s="38"/>
      <c r="BV899" s="38"/>
    </row>
    <row r="900" ht="14.25" customHeight="1">
      <c r="A900" s="74"/>
      <c r="B900" s="38"/>
      <c r="C900" s="38"/>
      <c r="D900" s="38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38"/>
      <c r="AM900" s="38"/>
      <c r="AN900" s="75"/>
      <c r="AO900" s="75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  <c r="BP900" s="38"/>
      <c r="BQ900" s="38"/>
      <c r="BR900" s="38"/>
      <c r="BS900" s="38"/>
      <c r="BT900" s="38"/>
      <c r="BU900" s="38"/>
      <c r="BV900" s="38"/>
    </row>
    <row r="901" ht="14.25" customHeight="1">
      <c r="A901" s="74"/>
      <c r="B901" s="38"/>
      <c r="C901" s="38"/>
      <c r="D901" s="38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38"/>
      <c r="AM901" s="38"/>
      <c r="AN901" s="75"/>
      <c r="AO901" s="75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  <c r="BP901" s="38"/>
      <c r="BQ901" s="38"/>
      <c r="BR901" s="38"/>
      <c r="BS901" s="38"/>
      <c r="BT901" s="38"/>
      <c r="BU901" s="38"/>
      <c r="BV901" s="38"/>
    </row>
    <row r="902" ht="14.25" customHeight="1">
      <c r="A902" s="74"/>
      <c r="B902" s="38"/>
      <c r="C902" s="38"/>
      <c r="D902" s="38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38"/>
      <c r="AM902" s="38"/>
      <c r="AN902" s="75"/>
      <c r="AO902" s="75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  <c r="BP902" s="38"/>
      <c r="BQ902" s="38"/>
      <c r="BR902" s="38"/>
      <c r="BS902" s="38"/>
      <c r="BT902" s="38"/>
      <c r="BU902" s="38"/>
      <c r="BV902" s="38"/>
    </row>
    <row r="903" ht="14.25" customHeight="1">
      <c r="A903" s="74"/>
      <c r="B903" s="38"/>
      <c r="C903" s="38"/>
      <c r="D903" s="38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38"/>
      <c r="AM903" s="38"/>
      <c r="AN903" s="75"/>
      <c r="AO903" s="75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  <c r="BP903" s="38"/>
      <c r="BQ903" s="38"/>
      <c r="BR903" s="38"/>
      <c r="BS903" s="38"/>
      <c r="BT903" s="38"/>
      <c r="BU903" s="38"/>
      <c r="BV903" s="38"/>
    </row>
    <row r="904" ht="14.25" customHeight="1">
      <c r="A904" s="74"/>
      <c r="B904" s="38"/>
      <c r="C904" s="38"/>
      <c r="D904" s="38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38"/>
      <c r="AM904" s="38"/>
      <c r="AN904" s="75"/>
      <c r="AO904" s="75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  <c r="BQ904" s="38"/>
      <c r="BR904" s="38"/>
      <c r="BS904" s="38"/>
      <c r="BT904" s="38"/>
      <c r="BU904" s="38"/>
      <c r="BV904" s="38"/>
    </row>
    <row r="905" ht="14.25" customHeight="1">
      <c r="A905" s="74"/>
      <c r="B905" s="38"/>
      <c r="C905" s="38"/>
      <c r="D905" s="38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38"/>
      <c r="AM905" s="38"/>
      <c r="AN905" s="75"/>
      <c r="AO905" s="75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38"/>
      <c r="BS905" s="38"/>
      <c r="BT905" s="38"/>
      <c r="BU905" s="38"/>
      <c r="BV905" s="38"/>
    </row>
    <row r="906" ht="14.25" customHeight="1">
      <c r="A906" s="74"/>
      <c r="B906" s="38"/>
      <c r="C906" s="38"/>
      <c r="D906" s="38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38"/>
      <c r="AM906" s="38"/>
      <c r="AN906" s="75"/>
      <c r="AO906" s="75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  <c r="BQ906" s="38"/>
      <c r="BR906" s="38"/>
      <c r="BS906" s="38"/>
      <c r="BT906" s="38"/>
      <c r="BU906" s="38"/>
      <c r="BV906" s="38"/>
    </row>
    <row r="907" ht="14.25" customHeight="1">
      <c r="A907" s="74"/>
      <c r="B907" s="38"/>
      <c r="C907" s="38"/>
      <c r="D907" s="38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38"/>
      <c r="AM907" s="38"/>
      <c r="AN907" s="75"/>
      <c r="AO907" s="75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  <c r="BQ907" s="38"/>
      <c r="BR907" s="38"/>
      <c r="BS907" s="38"/>
      <c r="BT907" s="38"/>
      <c r="BU907" s="38"/>
      <c r="BV907" s="38"/>
    </row>
    <row r="908" ht="14.25" customHeight="1">
      <c r="A908" s="74"/>
      <c r="B908" s="38"/>
      <c r="C908" s="38"/>
      <c r="D908" s="38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38"/>
      <c r="AM908" s="38"/>
      <c r="AN908" s="75"/>
      <c r="AO908" s="75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  <c r="BQ908" s="38"/>
      <c r="BR908" s="38"/>
      <c r="BS908" s="38"/>
      <c r="BT908" s="38"/>
      <c r="BU908" s="38"/>
      <c r="BV908" s="38"/>
    </row>
    <row r="909" ht="14.25" customHeight="1">
      <c r="A909" s="74"/>
      <c r="B909" s="38"/>
      <c r="C909" s="38"/>
      <c r="D909" s="38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38"/>
      <c r="AM909" s="38"/>
      <c r="AN909" s="75"/>
      <c r="AO909" s="75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  <c r="BQ909" s="38"/>
      <c r="BR909" s="38"/>
      <c r="BS909" s="38"/>
      <c r="BT909" s="38"/>
      <c r="BU909" s="38"/>
      <c r="BV909" s="38"/>
    </row>
    <row r="910" ht="14.25" customHeight="1">
      <c r="A910" s="74"/>
      <c r="B910" s="38"/>
      <c r="C910" s="38"/>
      <c r="D910" s="38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38"/>
      <c r="AM910" s="38"/>
      <c r="AN910" s="75"/>
      <c r="AO910" s="75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  <c r="BQ910" s="38"/>
      <c r="BR910" s="38"/>
      <c r="BS910" s="38"/>
      <c r="BT910" s="38"/>
      <c r="BU910" s="38"/>
      <c r="BV910" s="38"/>
    </row>
    <row r="911" ht="14.25" customHeight="1">
      <c r="A911" s="74"/>
      <c r="B911" s="38"/>
      <c r="C911" s="38"/>
      <c r="D911" s="38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38"/>
      <c r="AM911" s="38"/>
      <c r="AN911" s="75"/>
      <c r="AO911" s="75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  <c r="BQ911" s="38"/>
      <c r="BR911" s="38"/>
      <c r="BS911" s="38"/>
      <c r="BT911" s="38"/>
      <c r="BU911" s="38"/>
      <c r="BV911" s="38"/>
    </row>
    <row r="912" ht="14.25" customHeight="1">
      <c r="A912" s="74"/>
      <c r="B912" s="38"/>
      <c r="C912" s="38"/>
      <c r="D912" s="38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38"/>
      <c r="AM912" s="38"/>
      <c r="AN912" s="75"/>
      <c r="AO912" s="75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  <c r="BQ912" s="38"/>
      <c r="BR912" s="38"/>
      <c r="BS912" s="38"/>
      <c r="BT912" s="38"/>
      <c r="BU912" s="38"/>
      <c r="BV912" s="38"/>
    </row>
    <row r="913" ht="14.25" customHeight="1">
      <c r="A913" s="74"/>
      <c r="B913" s="38"/>
      <c r="C913" s="38"/>
      <c r="D913" s="38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38"/>
      <c r="AM913" s="38"/>
      <c r="AN913" s="75"/>
      <c r="AO913" s="75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  <c r="BS913" s="38"/>
      <c r="BT913" s="38"/>
      <c r="BU913" s="38"/>
      <c r="BV913" s="38"/>
    </row>
    <row r="914" ht="14.25" customHeight="1">
      <c r="A914" s="74"/>
      <c r="B914" s="38"/>
      <c r="C914" s="38"/>
      <c r="D914" s="38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38"/>
      <c r="AM914" s="38"/>
      <c r="AN914" s="75"/>
      <c r="AO914" s="75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  <c r="BS914" s="38"/>
      <c r="BT914" s="38"/>
      <c r="BU914" s="38"/>
      <c r="BV914" s="38"/>
    </row>
    <row r="915" ht="14.25" customHeight="1">
      <c r="A915" s="74"/>
      <c r="B915" s="38"/>
      <c r="C915" s="38"/>
      <c r="D915" s="38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38"/>
      <c r="AM915" s="38"/>
      <c r="AN915" s="75"/>
      <c r="AO915" s="75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  <c r="BQ915" s="38"/>
      <c r="BR915" s="38"/>
      <c r="BS915" s="38"/>
      <c r="BT915" s="38"/>
      <c r="BU915" s="38"/>
      <c r="BV915" s="38"/>
    </row>
    <row r="916" ht="14.25" customHeight="1">
      <c r="A916" s="74"/>
      <c r="B916" s="38"/>
      <c r="C916" s="38"/>
      <c r="D916" s="38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38"/>
      <c r="AM916" s="38"/>
      <c r="AN916" s="75"/>
      <c r="AO916" s="75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  <c r="BQ916" s="38"/>
      <c r="BR916" s="38"/>
      <c r="BS916" s="38"/>
      <c r="BT916" s="38"/>
      <c r="BU916" s="38"/>
      <c r="BV916" s="38"/>
    </row>
    <row r="917" ht="14.25" customHeight="1">
      <c r="A917" s="74"/>
      <c r="B917" s="38"/>
      <c r="C917" s="38"/>
      <c r="D917" s="38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38"/>
      <c r="AM917" s="38"/>
      <c r="AN917" s="75"/>
      <c r="AO917" s="75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  <c r="BQ917" s="38"/>
      <c r="BR917" s="38"/>
      <c r="BS917" s="38"/>
      <c r="BT917" s="38"/>
      <c r="BU917" s="38"/>
      <c r="BV917" s="38"/>
    </row>
    <row r="918" ht="14.25" customHeight="1">
      <c r="A918" s="74"/>
      <c r="B918" s="38"/>
      <c r="C918" s="38"/>
      <c r="D918" s="38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38"/>
      <c r="AM918" s="38"/>
      <c r="AN918" s="75"/>
      <c r="AO918" s="75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  <c r="BQ918" s="38"/>
      <c r="BR918" s="38"/>
      <c r="BS918" s="38"/>
      <c r="BT918" s="38"/>
      <c r="BU918" s="38"/>
      <c r="BV918" s="38"/>
    </row>
    <row r="919" ht="14.25" customHeight="1">
      <c r="A919" s="74"/>
      <c r="B919" s="38"/>
      <c r="C919" s="38"/>
      <c r="D919" s="38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38"/>
      <c r="AM919" s="38"/>
      <c r="AN919" s="75"/>
      <c r="AO919" s="75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38"/>
      <c r="BS919" s="38"/>
      <c r="BT919" s="38"/>
      <c r="BU919" s="38"/>
      <c r="BV919" s="38"/>
    </row>
    <row r="920" ht="14.25" customHeight="1">
      <c r="A920" s="74"/>
      <c r="B920" s="38"/>
      <c r="C920" s="38"/>
      <c r="D920" s="38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38"/>
      <c r="AM920" s="38"/>
      <c r="AN920" s="75"/>
      <c r="AO920" s="75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38"/>
      <c r="BS920" s="38"/>
      <c r="BT920" s="38"/>
      <c r="BU920" s="38"/>
      <c r="BV920" s="38"/>
    </row>
    <row r="921" ht="14.25" customHeight="1">
      <c r="A921" s="74"/>
      <c r="B921" s="38"/>
      <c r="C921" s="38"/>
      <c r="D921" s="38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38"/>
      <c r="AM921" s="38"/>
      <c r="AN921" s="75"/>
      <c r="AO921" s="75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  <c r="BQ921" s="38"/>
      <c r="BR921" s="38"/>
      <c r="BS921" s="38"/>
      <c r="BT921" s="38"/>
      <c r="BU921" s="38"/>
      <c r="BV921" s="38"/>
    </row>
    <row r="922" ht="14.25" customHeight="1">
      <c r="A922" s="74"/>
      <c r="B922" s="38"/>
      <c r="C922" s="38"/>
      <c r="D922" s="38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38"/>
      <c r="AM922" s="38"/>
      <c r="AN922" s="75"/>
      <c r="AO922" s="75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  <c r="BQ922" s="38"/>
      <c r="BR922" s="38"/>
      <c r="BS922" s="38"/>
      <c r="BT922" s="38"/>
      <c r="BU922" s="38"/>
      <c r="BV922" s="38"/>
    </row>
    <row r="923" ht="14.25" customHeight="1">
      <c r="A923" s="74"/>
      <c r="B923" s="38"/>
      <c r="C923" s="38"/>
      <c r="D923" s="38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38"/>
      <c r="AM923" s="38"/>
      <c r="AN923" s="75"/>
      <c r="AO923" s="75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  <c r="BQ923" s="38"/>
      <c r="BR923" s="38"/>
      <c r="BS923" s="38"/>
      <c r="BT923" s="38"/>
      <c r="BU923" s="38"/>
      <c r="BV923" s="38"/>
    </row>
    <row r="924" ht="14.25" customHeight="1">
      <c r="A924" s="74"/>
      <c r="B924" s="38"/>
      <c r="C924" s="38"/>
      <c r="D924" s="38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38"/>
      <c r="AM924" s="38"/>
      <c r="AN924" s="75"/>
      <c r="AO924" s="75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  <c r="BQ924" s="38"/>
      <c r="BR924" s="38"/>
      <c r="BS924" s="38"/>
      <c r="BT924" s="38"/>
      <c r="BU924" s="38"/>
      <c r="BV924" s="38"/>
    </row>
    <row r="925" ht="14.25" customHeight="1">
      <c r="A925" s="74"/>
      <c r="B925" s="38"/>
      <c r="C925" s="38"/>
      <c r="D925" s="38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38"/>
      <c r="AM925" s="38"/>
      <c r="AN925" s="75"/>
      <c r="AO925" s="75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  <c r="BQ925" s="38"/>
      <c r="BR925" s="38"/>
      <c r="BS925" s="38"/>
      <c r="BT925" s="38"/>
      <c r="BU925" s="38"/>
      <c r="BV925" s="38"/>
    </row>
    <row r="926" ht="14.25" customHeight="1">
      <c r="A926" s="74"/>
      <c r="B926" s="38"/>
      <c r="C926" s="38"/>
      <c r="D926" s="38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38"/>
      <c r="AM926" s="38"/>
      <c r="AN926" s="75"/>
      <c r="AO926" s="75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  <c r="BQ926" s="38"/>
      <c r="BR926" s="38"/>
      <c r="BS926" s="38"/>
      <c r="BT926" s="38"/>
      <c r="BU926" s="38"/>
      <c r="BV926" s="38"/>
    </row>
    <row r="927" ht="14.25" customHeight="1">
      <c r="A927" s="74"/>
      <c r="B927" s="38"/>
      <c r="C927" s="38"/>
      <c r="D927" s="38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38"/>
      <c r="AM927" s="38"/>
      <c r="AN927" s="75"/>
      <c r="AO927" s="75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  <c r="BS927" s="38"/>
      <c r="BT927" s="38"/>
      <c r="BU927" s="38"/>
      <c r="BV927" s="38"/>
    </row>
    <row r="928" ht="14.25" customHeight="1">
      <c r="A928" s="74"/>
      <c r="B928" s="38"/>
      <c r="C928" s="38"/>
      <c r="D928" s="38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38"/>
      <c r="AM928" s="38"/>
      <c r="AN928" s="75"/>
      <c r="AO928" s="75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  <c r="BS928" s="38"/>
      <c r="BT928" s="38"/>
      <c r="BU928" s="38"/>
      <c r="BV928" s="38"/>
    </row>
    <row r="929" ht="14.25" customHeight="1">
      <c r="A929" s="74"/>
      <c r="B929" s="38"/>
      <c r="C929" s="38"/>
      <c r="D929" s="38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38"/>
      <c r="AM929" s="38"/>
      <c r="AN929" s="75"/>
      <c r="AO929" s="75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  <c r="BS929" s="38"/>
      <c r="BT929" s="38"/>
      <c r="BU929" s="38"/>
      <c r="BV929" s="38"/>
    </row>
    <row r="930" ht="14.25" customHeight="1">
      <c r="A930" s="74"/>
      <c r="B930" s="38"/>
      <c r="C930" s="38"/>
      <c r="D930" s="38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38"/>
      <c r="AM930" s="38"/>
      <c r="AN930" s="75"/>
      <c r="AO930" s="75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  <c r="BS930" s="38"/>
      <c r="BT930" s="38"/>
      <c r="BU930" s="38"/>
      <c r="BV930" s="38"/>
    </row>
    <row r="931" ht="14.25" customHeight="1">
      <c r="A931" s="74"/>
      <c r="B931" s="38"/>
      <c r="C931" s="38"/>
      <c r="D931" s="38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38"/>
      <c r="AM931" s="38"/>
      <c r="AN931" s="75"/>
      <c r="AO931" s="75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  <c r="BS931" s="38"/>
      <c r="BT931" s="38"/>
      <c r="BU931" s="38"/>
      <c r="BV931" s="38"/>
    </row>
    <row r="932" ht="14.25" customHeight="1">
      <c r="A932" s="74"/>
      <c r="B932" s="38"/>
      <c r="C932" s="38"/>
      <c r="D932" s="38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38"/>
      <c r="AM932" s="38"/>
      <c r="AN932" s="75"/>
      <c r="AO932" s="75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  <c r="BQ932" s="38"/>
      <c r="BR932" s="38"/>
      <c r="BS932" s="38"/>
      <c r="BT932" s="38"/>
      <c r="BU932" s="38"/>
      <c r="BV932" s="38"/>
    </row>
    <row r="933" ht="14.25" customHeight="1">
      <c r="A933" s="74"/>
      <c r="B933" s="38"/>
      <c r="C933" s="38"/>
      <c r="D933" s="38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38"/>
      <c r="AM933" s="38"/>
      <c r="AN933" s="75"/>
      <c r="AO933" s="75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  <c r="BQ933" s="38"/>
      <c r="BR933" s="38"/>
      <c r="BS933" s="38"/>
      <c r="BT933" s="38"/>
      <c r="BU933" s="38"/>
      <c r="BV933" s="38"/>
    </row>
    <row r="934" ht="14.25" customHeight="1">
      <c r="A934" s="74"/>
      <c r="B934" s="38"/>
      <c r="C934" s="38"/>
      <c r="D934" s="38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38"/>
      <c r="AM934" s="38"/>
      <c r="AN934" s="75"/>
      <c r="AO934" s="75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  <c r="BQ934" s="38"/>
      <c r="BR934" s="38"/>
      <c r="BS934" s="38"/>
      <c r="BT934" s="38"/>
      <c r="BU934" s="38"/>
      <c r="BV934" s="38"/>
    </row>
    <row r="935" ht="14.25" customHeight="1">
      <c r="A935" s="74"/>
      <c r="B935" s="38"/>
      <c r="C935" s="38"/>
      <c r="D935" s="38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38"/>
      <c r="AM935" s="38"/>
      <c r="AN935" s="75"/>
      <c r="AO935" s="75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  <c r="BQ935" s="38"/>
      <c r="BR935" s="38"/>
      <c r="BS935" s="38"/>
      <c r="BT935" s="38"/>
      <c r="BU935" s="38"/>
      <c r="BV935" s="38"/>
    </row>
    <row r="936" ht="14.25" customHeight="1">
      <c r="A936" s="74"/>
      <c r="B936" s="38"/>
      <c r="C936" s="38"/>
      <c r="D936" s="38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38"/>
      <c r="AM936" s="38"/>
      <c r="AN936" s="75"/>
      <c r="AO936" s="75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  <c r="BQ936" s="38"/>
      <c r="BR936" s="38"/>
      <c r="BS936" s="38"/>
      <c r="BT936" s="38"/>
      <c r="BU936" s="38"/>
      <c r="BV936" s="38"/>
    </row>
    <row r="937" ht="14.25" customHeight="1">
      <c r="A937" s="74"/>
      <c r="B937" s="38"/>
      <c r="C937" s="38"/>
      <c r="D937" s="38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38"/>
      <c r="AM937" s="38"/>
      <c r="AN937" s="75"/>
      <c r="AO937" s="75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  <c r="BQ937" s="38"/>
      <c r="BR937" s="38"/>
      <c r="BS937" s="38"/>
      <c r="BT937" s="38"/>
      <c r="BU937" s="38"/>
      <c r="BV937" s="38"/>
    </row>
    <row r="938" ht="14.25" customHeight="1">
      <c r="A938" s="74"/>
      <c r="B938" s="38"/>
      <c r="C938" s="38"/>
      <c r="D938" s="38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38"/>
      <c r="AM938" s="38"/>
      <c r="AN938" s="75"/>
      <c r="AO938" s="75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  <c r="BQ938" s="38"/>
      <c r="BR938" s="38"/>
      <c r="BS938" s="38"/>
      <c r="BT938" s="38"/>
      <c r="BU938" s="38"/>
      <c r="BV938" s="38"/>
    </row>
    <row r="939" ht="14.25" customHeight="1">
      <c r="A939" s="74"/>
      <c r="B939" s="38"/>
      <c r="C939" s="38"/>
      <c r="D939" s="38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38"/>
      <c r="AM939" s="38"/>
      <c r="AN939" s="75"/>
      <c r="AO939" s="75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  <c r="BQ939" s="38"/>
      <c r="BR939" s="38"/>
      <c r="BS939" s="38"/>
      <c r="BT939" s="38"/>
      <c r="BU939" s="38"/>
      <c r="BV939" s="38"/>
    </row>
    <row r="940" ht="14.25" customHeight="1">
      <c r="A940" s="74"/>
      <c r="B940" s="38"/>
      <c r="C940" s="38"/>
      <c r="D940" s="38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38"/>
      <c r="AM940" s="38"/>
      <c r="AN940" s="75"/>
      <c r="AO940" s="75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  <c r="BQ940" s="38"/>
      <c r="BR940" s="38"/>
      <c r="BS940" s="38"/>
      <c r="BT940" s="38"/>
      <c r="BU940" s="38"/>
      <c r="BV940" s="38"/>
    </row>
    <row r="941" ht="14.25" customHeight="1">
      <c r="A941" s="74"/>
      <c r="B941" s="38"/>
      <c r="C941" s="38"/>
      <c r="D941" s="38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38"/>
      <c r="AM941" s="38"/>
      <c r="AN941" s="75"/>
      <c r="AO941" s="75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  <c r="BQ941" s="38"/>
      <c r="BR941" s="38"/>
      <c r="BS941" s="38"/>
      <c r="BT941" s="38"/>
      <c r="BU941" s="38"/>
      <c r="BV941" s="38"/>
    </row>
    <row r="942" ht="14.25" customHeight="1">
      <c r="A942" s="74"/>
      <c r="B942" s="38"/>
      <c r="C942" s="38"/>
      <c r="D942" s="38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38"/>
      <c r="AM942" s="38"/>
      <c r="AN942" s="75"/>
      <c r="AO942" s="75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  <c r="BQ942" s="38"/>
      <c r="BR942" s="38"/>
      <c r="BS942" s="38"/>
      <c r="BT942" s="38"/>
      <c r="BU942" s="38"/>
      <c r="BV942" s="38"/>
    </row>
    <row r="943" ht="14.25" customHeight="1">
      <c r="A943" s="74"/>
      <c r="B943" s="38"/>
      <c r="C943" s="38"/>
      <c r="D943" s="38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38"/>
      <c r="AM943" s="38"/>
      <c r="AN943" s="75"/>
      <c r="AO943" s="75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  <c r="BQ943" s="38"/>
      <c r="BR943" s="38"/>
      <c r="BS943" s="38"/>
      <c r="BT943" s="38"/>
      <c r="BU943" s="38"/>
      <c r="BV943" s="38"/>
    </row>
    <row r="944" ht="14.25" customHeight="1">
      <c r="A944" s="74"/>
      <c r="B944" s="38"/>
      <c r="C944" s="38"/>
      <c r="D944" s="38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38"/>
      <c r="AM944" s="38"/>
      <c r="AN944" s="75"/>
      <c r="AO944" s="75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  <c r="BQ944" s="38"/>
      <c r="BR944" s="38"/>
      <c r="BS944" s="38"/>
      <c r="BT944" s="38"/>
      <c r="BU944" s="38"/>
      <c r="BV944" s="38"/>
    </row>
    <row r="945" ht="14.25" customHeight="1">
      <c r="A945" s="74"/>
      <c r="B945" s="38"/>
      <c r="C945" s="38"/>
      <c r="D945" s="38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38"/>
      <c r="AM945" s="38"/>
      <c r="AN945" s="75"/>
      <c r="AO945" s="75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  <c r="BQ945" s="38"/>
      <c r="BR945" s="38"/>
      <c r="BS945" s="38"/>
      <c r="BT945" s="38"/>
      <c r="BU945" s="38"/>
      <c r="BV945" s="38"/>
    </row>
    <row r="946" ht="14.25" customHeight="1">
      <c r="A946" s="74"/>
      <c r="B946" s="38"/>
      <c r="C946" s="38"/>
      <c r="D946" s="38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38"/>
      <c r="AM946" s="38"/>
      <c r="AN946" s="75"/>
      <c r="AO946" s="75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  <c r="BQ946" s="38"/>
      <c r="BR946" s="38"/>
      <c r="BS946" s="38"/>
      <c r="BT946" s="38"/>
      <c r="BU946" s="38"/>
      <c r="BV946" s="38"/>
    </row>
    <row r="947" ht="14.25" customHeight="1">
      <c r="A947" s="74"/>
      <c r="B947" s="38"/>
      <c r="C947" s="38"/>
      <c r="D947" s="38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38"/>
      <c r="AM947" s="38"/>
      <c r="AN947" s="75"/>
      <c r="AO947" s="75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  <c r="BQ947" s="38"/>
      <c r="BR947" s="38"/>
      <c r="BS947" s="38"/>
      <c r="BT947" s="38"/>
      <c r="BU947" s="38"/>
      <c r="BV947" s="38"/>
    </row>
    <row r="948" ht="14.25" customHeight="1">
      <c r="A948" s="74"/>
      <c r="B948" s="38"/>
      <c r="C948" s="38"/>
      <c r="D948" s="38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38"/>
      <c r="AM948" s="38"/>
      <c r="AN948" s="75"/>
      <c r="AO948" s="75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  <c r="BQ948" s="38"/>
      <c r="BR948" s="38"/>
      <c r="BS948" s="38"/>
      <c r="BT948" s="38"/>
      <c r="BU948" s="38"/>
      <c r="BV948" s="38"/>
    </row>
    <row r="949" ht="14.25" customHeight="1">
      <c r="A949" s="74"/>
      <c r="B949" s="38"/>
      <c r="C949" s="38"/>
      <c r="D949" s="38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38"/>
      <c r="AM949" s="38"/>
      <c r="AN949" s="75"/>
      <c r="AO949" s="75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  <c r="BQ949" s="38"/>
      <c r="BR949" s="38"/>
      <c r="BS949" s="38"/>
      <c r="BT949" s="38"/>
      <c r="BU949" s="38"/>
      <c r="BV949" s="38"/>
    </row>
    <row r="950" ht="14.25" customHeight="1">
      <c r="A950" s="74"/>
      <c r="B950" s="38"/>
      <c r="C950" s="38"/>
      <c r="D950" s="38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38"/>
      <c r="AM950" s="38"/>
      <c r="AN950" s="75"/>
      <c r="AO950" s="75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  <c r="BQ950" s="38"/>
      <c r="BR950" s="38"/>
      <c r="BS950" s="38"/>
      <c r="BT950" s="38"/>
      <c r="BU950" s="38"/>
      <c r="BV950" s="38"/>
    </row>
    <row r="951" ht="14.25" customHeight="1">
      <c r="A951" s="74"/>
      <c r="B951" s="38"/>
      <c r="C951" s="38"/>
      <c r="D951" s="38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38"/>
      <c r="AM951" s="38"/>
      <c r="AN951" s="75"/>
      <c r="AO951" s="75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  <c r="BQ951" s="38"/>
      <c r="BR951" s="38"/>
      <c r="BS951" s="38"/>
      <c r="BT951" s="38"/>
      <c r="BU951" s="38"/>
      <c r="BV951" s="38"/>
    </row>
    <row r="952" ht="14.25" customHeight="1">
      <c r="A952" s="74"/>
      <c r="B952" s="38"/>
      <c r="C952" s="38"/>
      <c r="D952" s="38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38"/>
      <c r="AM952" s="38"/>
      <c r="AN952" s="75"/>
      <c r="AO952" s="75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  <c r="BQ952" s="38"/>
      <c r="BR952" s="38"/>
      <c r="BS952" s="38"/>
      <c r="BT952" s="38"/>
      <c r="BU952" s="38"/>
      <c r="BV952" s="38"/>
    </row>
    <row r="953" ht="14.25" customHeight="1">
      <c r="A953" s="74"/>
      <c r="B953" s="38"/>
      <c r="C953" s="38"/>
      <c r="D953" s="38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38"/>
      <c r="AM953" s="38"/>
      <c r="AN953" s="75"/>
      <c r="AO953" s="75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  <c r="BQ953" s="38"/>
      <c r="BR953" s="38"/>
      <c r="BS953" s="38"/>
      <c r="BT953" s="38"/>
      <c r="BU953" s="38"/>
      <c r="BV953" s="38"/>
    </row>
    <row r="954" ht="14.25" customHeight="1">
      <c r="A954" s="74"/>
      <c r="B954" s="38"/>
      <c r="C954" s="38"/>
      <c r="D954" s="38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38"/>
      <c r="AM954" s="38"/>
      <c r="AN954" s="75"/>
      <c r="AO954" s="75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  <c r="BQ954" s="38"/>
      <c r="BR954" s="38"/>
      <c r="BS954" s="38"/>
      <c r="BT954" s="38"/>
      <c r="BU954" s="38"/>
      <c r="BV954" s="38"/>
    </row>
    <row r="955" ht="14.25" customHeight="1">
      <c r="A955" s="74"/>
      <c r="B955" s="38"/>
      <c r="C955" s="38"/>
      <c r="D955" s="38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38"/>
      <c r="AM955" s="38"/>
      <c r="AN955" s="75"/>
      <c r="AO955" s="75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  <c r="BQ955" s="38"/>
      <c r="BR955" s="38"/>
      <c r="BS955" s="38"/>
      <c r="BT955" s="38"/>
      <c r="BU955" s="38"/>
      <c r="BV955" s="38"/>
    </row>
    <row r="956" ht="14.25" customHeight="1">
      <c r="A956" s="74"/>
      <c r="B956" s="38"/>
      <c r="C956" s="38"/>
      <c r="D956" s="38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38"/>
      <c r="AM956" s="38"/>
      <c r="AN956" s="75"/>
      <c r="AO956" s="75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  <c r="BQ956" s="38"/>
      <c r="BR956" s="38"/>
      <c r="BS956" s="38"/>
      <c r="BT956" s="38"/>
      <c r="BU956" s="38"/>
      <c r="BV956" s="38"/>
    </row>
    <row r="957" ht="14.25" customHeight="1">
      <c r="A957" s="74"/>
      <c r="B957" s="38"/>
      <c r="C957" s="38"/>
      <c r="D957" s="38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38"/>
      <c r="AM957" s="38"/>
      <c r="AN957" s="75"/>
      <c r="AO957" s="75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  <c r="BQ957" s="38"/>
      <c r="BR957" s="38"/>
      <c r="BS957" s="38"/>
      <c r="BT957" s="38"/>
      <c r="BU957" s="38"/>
      <c r="BV957" s="38"/>
    </row>
    <row r="958" ht="14.25" customHeight="1">
      <c r="A958" s="74"/>
      <c r="B958" s="38"/>
      <c r="C958" s="38"/>
      <c r="D958" s="38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38"/>
      <c r="AM958" s="38"/>
      <c r="AN958" s="75"/>
      <c r="AO958" s="75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  <c r="BQ958" s="38"/>
      <c r="BR958" s="38"/>
      <c r="BS958" s="38"/>
      <c r="BT958" s="38"/>
      <c r="BU958" s="38"/>
      <c r="BV958" s="38"/>
    </row>
    <row r="959" ht="14.25" customHeight="1">
      <c r="A959" s="74"/>
      <c r="B959" s="38"/>
      <c r="C959" s="38"/>
      <c r="D959" s="38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38"/>
      <c r="AM959" s="38"/>
      <c r="AN959" s="75"/>
      <c r="AO959" s="75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  <c r="BQ959" s="38"/>
      <c r="BR959" s="38"/>
      <c r="BS959" s="38"/>
      <c r="BT959" s="38"/>
      <c r="BU959" s="38"/>
      <c r="BV959" s="38"/>
    </row>
    <row r="960" ht="14.25" customHeight="1">
      <c r="A960" s="74"/>
      <c r="B960" s="38"/>
      <c r="C960" s="38"/>
      <c r="D960" s="38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38"/>
      <c r="AM960" s="38"/>
      <c r="AN960" s="75"/>
      <c r="AO960" s="75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  <c r="BQ960" s="38"/>
      <c r="BR960" s="38"/>
      <c r="BS960" s="38"/>
      <c r="BT960" s="38"/>
      <c r="BU960" s="38"/>
      <c r="BV960" s="38"/>
    </row>
    <row r="961" ht="14.25" customHeight="1">
      <c r="A961" s="74"/>
      <c r="B961" s="38"/>
      <c r="C961" s="38"/>
      <c r="D961" s="38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38"/>
      <c r="AM961" s="38"/>
      <c r="AN961" s="75"/>
      <c r="AO961" s="75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  <c r="BQ961" s="38"/>
      <c r="BR961" s="38"/>
      <c r="BS961" s="38"/>
      <c r="BT961" s="38"/>
      <c r="BU961" s="38"/>
      <c r="BV961" s="38"/>
    </row>
    <row r="962" ht="14.25" customHeight="1">
      <c r="A962" s="74"/>
      <c r="B962" s="38"/>
      <c r="C962" s="38"/>
      <c r="D962" s="38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38"/>
      <c r="AM962" s="38"/>
      <c r="AN962" s="75"/>
      <c r="AO962" s="75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  <c r="BQ962" s="38"/>
      <c r="BR962" s="38"/>
      <c r="BS962" s="38"/>
      <c r="BT962" s="38"/>
      <c r="BU962" s="38"/>
      <c r="BV962" s="38"/>
    </row>
    <row r="963" ht="14.25" customHeight="1">
      <c r="A963" s="74"/>
      <c r="B963" s="38"/>
      <c r="C963" s="38"/>
      <c r="D963" s="38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38"/>
      <c r="AM963" s="38"/>
      <c r="AN963" s="75"/>
      <c r="AO963" s="75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  <c r="BQ963" s="38"/>
      <c r="BR963" s="38"/>
      <c r="BS963" s="38"/>
      <c r="BT963" s="38"/>
      <c r="BU963" s="38"/>
      <c r="BV963" s="38"/>
    </row>
    <row r="964" ht="14.25" customHeight="1">
      <c r="A964" s="74"/>
      <c r="B964" s="38"/>
      <c r="C964" s="38"/>
      <c r="D964" s="38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38"/>
      <c r="AM964" s="38"/>
      <c r="AN964" s="75"/>
      <c r="AO964" s="75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  <c r="BQ964" s="38"/>
      <c r="BR964" s="38"/>
      <c r="BS964" s="38"/>
      <c r="BT964" s="38"/>
      <c r="BU964" s="38"/>
      <c r="BV964" s="38"/>
    </row>
    <row r="965" ht="14.25" customHeight="1">
      <c r="A965" s="74"/>
      <c r="B965" s="38"/>
      <c r="C965" s="38"/>
      <c r="D965" s="38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38"/>
      <c r="AM965" s="38"/>
      <c r="AN965" s="75"/>
      <c r="AO965" s="75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  <c r="BQ965" s="38"/>
      <c r="BR965" s="38"/>
      <c r="BS965" s="38"/>
      <c r="BT965" s="38"/>
      <c r="BU965" s="38"/>
      <c r="BV965" s="38"/>
    </row>
    <row r="966" ht="14.25" customHeight="1">
      <c r="A966" s="74"/>
      <c r="B966" s="38"/>
      <c r="C966" s="38"/>
      <c r="D966" s="38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38"/>
      <c r="AM966" s="38"/>
      <c r="AN966" s="75"/>
      <c r="AO966" s="75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  <c r="BQ966" s="38"/>
      <c r="BR966" s="38"/>
      <c r="BS966" s="38"/>
      <c r="BT966" s="38"/>
      <c r="BU966" s="38"/>
      <c r="BV966" s="38"/>
    </row>
    <row r="967" ht="14.25" customHeight="1">
      <c r="A967" s="74"/>
      <c r="B967" s="38"/>
      <c r="C967" s="38"/>
      <c r="D967" s="38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38"/>
      <c r="AM967" s="38"/>
      <c r="AN967" s="75"/>
      <c r="AO967" s="75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  <c r="BQ967" s="38"/>
      <c r="BR967" s="38"/>
      <c r="BS967" s="38"/>
      <c r="BT967" s="38"/>
      <c r="BU967" s="38"/>
      <c r="BV967" s="38"/>
    </row>
    <row r="968" ht="14.25" customHeight="1">
      <c r="A968" s="74"/>
      <c r="B968" s="38"/>
      <c r="C968" s="38"/>
      <c r="D968" s="38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38"/>
      <c r="AM968" s="38"/>
      <c r="AN968" s="75"/>
      <c r="AO968" s="75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  <c r="BQ968" s="38"/>
      <c r="BR968" s="38"/>
      <c r="BS968" s="38"/>
      <c r="BT968" s="38"/>
      <c r="BU968" s="38"/>
      <c r="BV968" s="38"/>
    </row>
    <row r="969" ht="14.25" customHeight="1">
      <c r="A969" s="74"/>
      <c r="B969" s="38"/>
      <c r="C969" s="38"/>
      <c r="D969" s="38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38"/>
      <c r="AM969" s="38"/>
      <c r="AN969" s="75"/>
      <c r="AO969" s="75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  <c r="BQ969" s="38"/>
      <c r="BR969" s="38"/>
      <c r="BS969" s="38"/>
      <c r="BT969" s="38"/>
      <c r="BU969" s="38"/>
      <c r="BV969" s="38"/>
    </row>
    <row r="970" ht="14.25" customHeight="1">
      <c r="A970" s="74"/>
      <c r="B970" s="38"/>
      <c r="C970" s="38"/>
      <c r="D970" s="38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38"/>
      <c r="AM970" s="38"/>
      <c r="AN970" s="75"/>
      <c r="AO970" s="75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  <c r="BQ970" s="38"/>
      <c r="BR970" s="38"/>
      <c r="BS970" s="38"/>
      <c r="BT970" s="38"/>
      <c r="BU970" s="38"/>
      <c r="BV970" s="38"/>
    </row>
    <row r="971" ht="14.25" customHeight="1">
      <c r="A971" s="74"/>
      <c r="B971" s="38"/>
      <c r="C971" s="38"/>
      <c r="D971" s="38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38"/>
      <c r="AM971" s="38"/>
      <c r="AN971" s="75"/>
      <c r="AO971" s="75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  <c r="BQ971" s="38"/>
      <c r="BR971" s="38"/>
      <c r="BS971" s="38"/>
      <c r="BT971" s="38"/>
      <c r="BU971" s="38"/>
      <c r="BV971" s="38"/>
    </row>
    <row r="972" ht="14.25" customHeight="1">
      <c r="A972" s="74"/>
      <c r="B972" s="38"/>
      <c r="C972" s="38"/>
      <c r="D972" s="38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38"/>
      <c r="AM972" s="38"/>
      <c r="AN972" s="75"/>
      <c r="AO972" s="75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  <c r="BQ972" s="38"/>
      <c r="BR972" s="38"/>
      <c r="BS972" s="38"/>
      <c r="BT972" s="38"/>
      <c r="BU972" s="38"/>
      <c r="BV972" s="38"/>
    </row>
    <row r="973" ht="14.25" customHeight="1">
      <c r="A973" s="74"/>
      <c r="B973" s="38"/>
      <c r="C973" s="38"/>
      <c r="D973" s="38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38"/>
      <c r="AM973" s="38"/>
      <c r="AN973" s="75"/>
      <c r="AO973" s="75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  <c r="BS973" s="38"/>
      <c r="BT973" s="38"/>
      <c r="BU973" s="38"/>
      <c r="BV973" s="38"/>
    </row>
    <row r="974" ht="14.25" customHeight="1">
      <c r="A974" s="74"/>
      <c r="B974" s="38"/>
      <c r="C974" s="38"/>
      <c r="D974" s="38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38"/>
      <c r="AM974" s="38"/>
      <c r="AN974" s="75"/>
      <c r="AO974" s="75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  <c r="BS974" s="38"/>
      <c r="BT974" s="38"/>
      <c r="BU974" s="38"/>
      <c r="BV974" s="38"/>
    </row>
    <row r="975" ht="14.25" customHeight="1">
      <c r="A975" s="74"/>
      <c r="B975" s="38"/>
      <c r="C975" s="38"/>
      <c r="D975" s="38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38"/>
      <c r="AM975" s="38"/>
      <c r="AN975" s="75"/>
      <c r="AO975" s="75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  <c r="BS975" s="38"/>
      <c r="BT975" s="38"/>
      <c r="BU975" s="38"/>
      <c r="BV975" s="38"/>
    </row>
    <row r="976" ht="14.25" customHeight="1">
      <c r="A976" s="74"/>
      <c r="B976" s="38"/>
      <c r="C976" s="38"/>
      <c r="D976" s="38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38"/>
      <c r="AM976" s="38"/>
      <c r="AN976" s="75"/>
      <c r="AO976" s="75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  <c r="BS976" s="38"/>
      <c r="BT976" s="38"/>
      <c r="BU976" s="38"/>
      <c r="BV976" s="38"/>
    </row>
    <row r="977" ht="14.25" customHeight="1">
      <c r="A977" s="74"/>
      <c r="B977" s="38"/>
      <c r="C977" s="38"/>
      <c r="D977" s="38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38"/>
      <c r="AM977" s="38"/>
      <c r="AN977" s="75"/>
      <c r="AO977" s="75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  <c r="BS977" s="38"/>
      <c r="BT977" s="38"/>
      <c r="BU977" s="38"/>
      <c r="BV977" s="38"/>
    </row>
    <row r="978" ht="14.25" customHeight="1">
      <c r="A978" s="74"/>
      <c r="B978" s="38"/>
      <c r="C978" s="38"/>
      <c r="D978" s="38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38"/>
      <c r="AM978" s="38"/>
      <c r="AN978" s="75"/>
      <c r="AO978" s="75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  <c r="BQ978" s="38"/>
      <c r="BR978" s="38"/>
      <c r="BS978" s="38"/>
      <c r="BT978" s="38"/>
      <c r="BU978" s="38"/>
      <c r="BV978" s="38"/>
    </row>
    <row r="979" ht="14.25" customHeight="1">
      <c r="A979" s="74"/>
      <c r="B979" s="38"/>
      <c r="C979" s="38"/>
      <c r="D979" s="38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38"/>
      <c r="AM979" s="38"/>
      <c r="AN979" s="75"/>
      <c r="AO979" s="75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  <c r="BQ979" s="38"/>
      <c r="BR979" s="38"/>
      <c r="BS979" s="38"/>
      <c r="BT979" s="38"/>
      <c r="BU979" s="38"/>
      <c r="BV979" s="38"/>
    </row>
    <row r="980" ht="14.25" customHeight="1">
      <c r="A980" s="74"/>
      <c r="B980" s="38"/>
      <c r="C980" s="38"/>
      <c r="D980" s="38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38"/>
      <c r="AM980" s="38"/>
      <c r="AN980" s="75"/>
      <c r="AO980" s="75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  <c r="BQ980" s="38"/>
      <c r="BR980" s="38"/>
      <c r="BS980" s="38"/>
      <c r="BT980" s="38"/>
      <c r="BU980" s="38"/>
      <c r="BV980" s="38"/>
    </row>
    <row r="981" ht="14.25" customHeight="1">
      <c r="A981" s="74"/>
      <c r="B981" s="38"/>
      <c r="C981" s="38"/>
      <c r="D981" s="38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38"/>
      <c r="AM981" s="38"/>
      <c r="AN981" s="75"/>
      <c r="AO981" s="75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  <c r="BQ981" s="38"/>
      <c r="BR981" s="38"/>
      <c r="BS981" s="38"/>
      <c r="BT981" s="38"/>
      <c r="BU981" s="38"/>
      <c r="BV981" s="38"/>
    </row>
    <row r="982" ht="14.25" customHeight="1">
      <c r="A982" s="74"/>
      <c r="B982" s="38"/>
      <c r="C982" s="38"/>
      <c r="D982" s="38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38"/>
      <c r="AM982" s="38"/>
      <c r="AN982" s="75"/>
      <c r="AO982" s="75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  <c r="BQ982" s="38"/>
      <c r="BR982" s="38"/>
      <c r="BS982" s="38"/>
      <c r="BT982" s="38"/>
      <c r="BU982" s="38"/>
      <c r="BV982" s="38"/>
    </row>
    <row r="983" ht="14.25" customHeight="1">
      <c r="A983" s="74"/>
      <c r="B983" s="38"/>
      <c r="C983" s="38"/>
      <c r="D983" s="38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38"/>
      <c r="AM983" s="38"/>
      <c r="AN983" s="75"/>
      <c r="AO983" s="75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  <c r="BQ983" s="38"/>
      <c r="BR983" s="38"/>
      <c r="BS983" s="38"/>
      <c r="BT983" s="38"/>
      <c r="BU983" s="38"/>
      <c r="BV983" s="38"/>
    </row>
    <row r="984" ht="14.25" customHeight="1">
      <c r="A984" s="74"/>
      <c r="B984" s="38"/>
      <c r="C984" s="38"/>
      <c r="D984" s="38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38"/>
      <c r="AM984" s="38"/>
      <c r="AN984" s="75"/>
      <c r="AO984" s="75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  <c r="BQ984" s="38"/>
      <c r="BR984" s="38"/>
      <c r="BS984" s="38"/>
      <c r="BT984" s="38"/>
      <c r="BU984" s="38"/>
      <c r="BV984" s="38"/>
    </row>
    <row r="985" ht="14.25" customHeight="1">
      <c r="A985" s="74"/>
      <c r="B985" s="38"/>
      <c r="C985" s="38"/>
      <c r="D985" s="38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38"/>
      <c r="AM985" s="38"/>
      <c r="AN985" s="75"/>
      <c r="AO985" s="75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  <c r="BQ985" s="38"/>
      <c r="BR985" s="38"/>
      <c r="BS985" s="38"/>
      <c r="BT985" s="38"/>
      <c r="BU985" s="38"/>
      <c r="BV985" s="38"/>
    </row>
    <row r="986" ht="14.25" customHeight="1">
      <c r="A986" s="74"/>
      <c r="B986" s="38"/>
      <c r="C986" s="38"/>
      <c r="D986" s="38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38"/>
      <c r="AM986" s="38"/>
      <c r="AN986" s="75"/>
      <c r="AO986" s="75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  <c r="BQ986" s="38"/>
      <c r="BR986" s="38"/>
      <c r="BS986" s="38"/>
      <c r="BT986" s="38"/>
      <c r="BU986" s="38"/>
      <c r="BV986" s="38"/>
    </row>
    <row r="987" ht="14.25" customHeight="1">
      <c r="A987" s="74"/>
      <c r="B987" s="38"/>
      <c r="C987" s="38"/>
      <c r="D987" s="38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38"/>
      <c r="AM987" s="38"/>
      <c r="AN987" s="75"/>
      <c r="AO987" s="75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  <c r="BQ987" s="38"/>
      <c r="BR987" s="38"/>
      <c r="BS987" s="38"/>
      <c r="BT987" s="38"/>
      <c r="BU987" s="38"/>
      <c r="BV987" s="38"/>
    </row>
    <row r="988" ht="14.25" customHeight="1">
      <c r="A988" s="74"/>
      <c r="B988" s="38"/>
      <c r="C988" s="38"/>
      <c r="D988" s="38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38"/>
      <c r="AM988" s="38"/>
      <c r="AN988" s="75"/>
      <c r="AO988" s="75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  <c r="BQ988" s="38"/>
      <c r="BR988" s="38"/>
      <c r="BS988" s="38"/>
      <c r="BT988" s="38"/>
      <c r="BU988" s="38"/>
      <c r="BV988" s="38"/>
    </row>
    <row r="989" ht="14.25" customHeight="1">
      <c r="A989" s="74"/>
      <c r="B989" s="38"/>
      <c r="C989" s="38"/>
      <c r="D989" s="38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38"/>
      <c r="AM989" s="38"/>
      <c r="AN989" s="75"/>
      <c r="AO989" s="75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  <c r="BP989" s="38"/>
      <c r="BQ989" s="38"/>
      <c r="BR989" s="38"/>
      <c r="BS989" s="38"/>
      <c r="BT989" s="38"/>
      <c r="BU989" s="38"/>
      <c r="BV989" s="38"/>
    </row>
    <row r="990" ht="14.25" customHeight="1">
      <c r="A990" s="74"/>
      <c r="B990" s="38"/>
      <c r="C990" s="38"/>
      <c r="D990" s="38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38"/>
      <c r="AM990" s="38"/>
      <c r="AN990" s="75"/>
      <c r="AO990" s="75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  <c r="BP990" s="38"/>
      <c r="BQ990" s="38"/>
      <c r="BR990" s="38"/>
      <c r="BS990" s="38"/>
      <c r="BT990" s="38"/>
      <c r="BU990" s="38"/>
      <c r="BV990" s="38"/>
    </row>
    <row r="991" ht="14.25" customHeight="1">
      <c r="A991" s="74"/>
      <c r="B991" s="38"/>
      <c r="C991" s="38"/>
      <c r="D991" s="38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38"/>
      <c r="AM991" s="38"/>
      <c r="AN991" s="75"/>
      <c r="AO991" s="75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  <c r="BP991" s="38"/>
      <c r="BQ991" s="38"/>
      <c r="BR991" s="38"/>
      <c r="BS991" s="38"/>
      <c r="BT991" s="38"/>
      <c r="BU991" s="38"/>
      <c r="BV991" s="38"/>
    </row>
    <row r="992" ht="14.25" customHeight="1">
      <c r="A992" s="74"/>
      <c r="B992" s="38"/>
      <c r="C992" s="38"/>
      <c r="D992" s="38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38"/>
      <c r="AM992" s="38"/>
      <c r="AN992" s="75"/>
      <c r="AO992" s="75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  <c r="BP992" s="38"/>
      <c r="BQ992" s="38"/>
      <c r="BR992" s="38"/>
      <c r="BS992" s="38"/>
      <c r="BT992" s="38"/>
      <c r="BU992" s="38"/>
      <c r="BV992" s="38"/>
    </row>
    <row r="993" ht="14.25" customHeight="1">
      <c r="A993" s="74"/>
      <c r="B993" s="38"/>
      <c r="C993" s="38"/>
      <c r="D993" s="38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38"/>
      <c r="AM993" s="38"/>
      <c r="AN993" s="75"/>
      <c r="AO993" s="75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  <c r="BS993" s="38"/>
      <c r="BT993" s="38"/>
      <c r="BU993" s="38"/>
      <c r="BV993" s="38"/>
    </row>
    <row r="994" ht="14.25" customHeight="1">
      <c r="A994" s="74"/>
      <c r="B994" s="38"/>
      <c r="C994" s="38"/>
      <c r="D994" s="38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38"/>
      <c r="AM994" s="38"/>
      <c r="AN994" s="75"/>
      <c r="AO994" s="75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  <c r="BS994" s="38"/>
      <c r="BT994" s="38"/>
      <c r="BU994" s="38"/>
      <c r="BV994" s="38"/>
    </row>
    <row r="995" ht="14.25" customHeight="1">
      <c r="A995" s="74"/>
      <c r="B995" s="38"/>
      <c r="C995" s="38"/>
      <c r="D995" s="38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38"/>
      <c r="AM995" s="38"/>
      <c r="AN995" s="75"/>
      <c r="AO995" s="75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  <c r="BP995" s="38"/>
      <c r="BQ995" s="38"/>
      <c r="BR995" s="38"/>
      <c r="BS995" s="38"/>
      <c r="BT995" s="38"/>
      <c r="BU995" s="38"/>
      <c r="BV995" s="38"/>
    </row>
    <row r="996" ht="14.25" customHeight="1">
      <c r="A996" s="74"/>
      <c r="B996" s="38"/>
      <c r="C996" s="38"/>
      <c r="D996" s="38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38"/>
      <c r="AM996" s="38"/>
      <c r="AN996" s="75"/>
      <c r="AO996" s="75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  <c r="BP996" s="38"/>
      <c r="BQ996" s="38"/>
      <c r="BR996" s="38"/>
      <c r="BS996" s="38"/>
      <c r="BT996" s="38"/>
      <c r="BU996" s="38"/>
      <c r="BV996" s="38"/>
    </row>
    <row r="997" ht="14.25" customHeight="1">
      <c r="A997" s="74"/>
      <c r="B997" s="38"/>
      <c r="C997" s="38"/>
      <c r="D997" s="38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38"/>
      <c r="AM997" s="38"/>
      <c r="AN997" s="75"/>
      <c r="AO997" s="75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  <c r="BP997" s="38"/>
      <c r="BQ997" s="38"/>
      <c r="BR997" s="38"/>
      <c r="BS997" s="38"/>
      <c r="BT997" s="38"/>
      <c r="BU997" s="38"/>
      <c r="BV997" s="38"/>
    </row>
    <row r="998" ht="14.25" customHeight="1">
      <c r="A998" s="74"/>
      <c r="B998" s="38"/>
      <c r="C998" s="38"/>
      <c r="D998" s="38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38"/>
      <c r="AM998" s="38"/>
      <c r="AN998" s="75"/>
      <c r="AO998" s="75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  <c r="BP998" s="38"/>
      <c r="BQ998" s="38"/>
      <c r="BR998" s="38"/>
      <c r="BS998" s="38"/>
      <c r="BT998" s="38"/>
      <c r="BU998" s="38"/>
      <c r="BV998" s="38"/>
    </row>
    <row r="999" ht="14.25" customHeight="1">
      <c r="A999" s="74"/>
      <c r="B999" s="38"/>
      <c r="C999" s="38"/>
      <c r="D999" s="38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38"/>
      <c r="AM999" s="38"/>
      <c r="AN999" s="75"/>
      <c r="AO999" s="75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  <c r="BP999" s="38"/>
      <c r="BQ999" s="38"/>
      <c r="BR999" s="38"/>
      <c r="BS999" s="38"/>
      <c r="BT999" s="38"/>
      <c r="BU999" s="38"/>
      <c r="BV999" s="38"/>
    </row>
    <row r="1000" ht="14.25" customHeight="1">
      <c r="A1000" s="74"/>
      <c r="B1000" s="38"/>
      <c r="C1000" s="38"/>
      <c r="D1000" s="38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38"/>
      <c r="AM1000" s="38"/>
      <c r="AN1000" s="75"/>
      <c r="AO1000" s="75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  <c r="BO1000" s="38"/>
      <c r="BP1000" s="38"/>
      <c r="BQ1000" s="38"/>
      <c r="BR1000" s="38"/>
      <c r="BS1000" s="38"/>
      <c r="BT1000" s="38"/>
      <c r="BU1000" s="38"/>
      <c r="BV1000" s="38"/>
    </row>
    <row r="1001" ht="14.25" customHeight="1">
      <c r="A1001" s="74"/>
      <c r="B1001" s="38"/>
      <c r="C1001" s="38"/>
      <c r="D1001" s="38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  <c r="AI1001" s="74"/>
      <c r="AJ1001" s="74"/>
      <c r="AK1001" s="74"/>
      <c r="AL1001" s="38"/>
      <c r="AM1001" s="38"/>
      <c r="AN1001" s="75"/>
      <c r="AO1001" s="75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  <c r="BM1001" s="38"/>
      <c r="BN1001" s="38"/>
      <c r="BO1001" s="38"/>
      <c r="BP1001" s="38"/>
      <c r="BQ1001" s="38"/>
      <c r="BR1001" s="38"/>
      <c r="BS1001" s="38"/>
      <c r="BT1001" s="38"/>
      <c r="BU1001" s="38"/>
      <c r="BV1001" s="38"/>
    </row>
    <row r="1002" ht="14.25" customHeight="1">
      <c r="A1002" s="74"/>
      <c r="B1002" s="38"/>
      <c r="C1002" s="38"/>
      <c r="D1002" s="38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  <c r="AI1002" s="74"/>
      <c r="AJ1002" s="74"/>
      <c r="AK1002" s="74"/>
      <c r="AL1002" s="38"/>
      <c r="AM1002" s="38"/>
      <c r="AN1002" s="75"/>
      <c r="AO1002" s="75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  <c r="BM1002" s="38"/>
      <c r="BN1002" s="38"/>
      <c r="BO1002" s="38"/>
      <c r="BP1002" s="38"/>
      <c r="BQ1002" s="38"/>
      <c r="BR1002" s="38"/>
      <c r="BS1002" s="38"/>
      <c r="BT1002" s="38"/>
      <c r="BU1002" s="38"/>
      <c r="BV1002" s="38"/>
    </row>
    <row r="1003" ht="14.25" customHeight="1">
      <c r="A1003" s="74"/>
      <c r="B1003" s="38"/>
      <c r="C1003" s="38"/>
      <c r="D1003" s="38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  <c r="AI1003" s="74"/>
      <c r="AJ1003" s="74"/>
      <c r="AK1003" s="74"/>
      <c r="AL1003" s="38"/>
      <c r="AM1003" s="38"/>
      <c r="AN1003" s="75"/>
      <c r="AO1003" s="75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  <c r="BM1003" s="38"/>
      <c r="BN1003" s="38"/>
      <c r="BO1003" s="38"/>
      <c r="BP1003" s="38"/>
      <c r="BQ1003" s="38"/>
      <c r="BR1003" s="38"/>
      <c r="BS1003" s="38"/>
      <c r="BT1003" s="38"/>
      <c r="BU1003" s="38"/>
      <c r="BV1003" s="38"/>
    </row>
    <row r="1004" ht="14.25" customHeight="1">
      <c r="A1004" s="74"/>
      <c r="B1004" s="38"/>
      <c r="C1004" s="38"/>
      <c r="D1004" s="38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  <c r="AI1004" s="74"/>
      <c r="AJ1004" s="74"/>
      <c r="AK1004" s="74"/>
      <c r="AL1004" s="38"/>
      <c r="AM1004" s="38"/>
      <c r="AN1004" s="75"/>
      <c r="AO1004" s="75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  <c r="BM1004" s="38"/>
      <c r="BN1004" s="38"/>
      <c r="BO1004" s="38"/>
      <c r="BP1004" s="38"/>
      <c r="BQ1004" s="38"/>
      <c r="BR1004" s="38"/>
      <c r="BS1004" s="38"/>
      <c r="BT1004" s="38"/>
      <c r="BU1004" s="38"/>
      <c r="BV1004" s="38"/>
    </row>
    <row r="1005" ht="14.25" customHeight="1">
      <c r="A1005" s="74"/>
      <c r="B1005" s="38"/>
      <c r="C1005" s="38"/>
      <c r="D1005" s="38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  <c r="AI1005" s="74"/>
      <c r="AJ1005" s="74"/>
      <c r="AK1005" s="74"/>
      <c r="AL1005" s="38"/>
      <c r="AM1005" s="38"/>
      <c r="AN1005" s="75"/>
      <c r="AO1005" s="75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  <c r="BM1005" s="38"/>
      <c r="BN1005" s="38"/>
      <c r="BO1005" s="38"/>
      <c r="BP1005" s="38"/>
      <c r="BQ1005" s="38"/>
      <c r="BR1005" s="38"/>
      <c r="BS1005" s="38"/>
      <c r="BT1005" s="38"/>
      <c r="BU1005" s="38"/>
      <c r="BV1005" s="38"/>
    </row>
    <row r="1006" ht="14.25" customHeight="1">
      <c r="A1006" s="74"/>
      <c r="B1006" s="38"/>
      <c r="C1006" s="38"/>
      <c r="D1006" s="38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  <c r="AJ1006" s="74"/>
      <c r="AK1006" s="74"/>
      <c r="AL1006" s="38"/>
      <c r="AM1006" s="38"/>
      <c r="AN1006" s="75"/>
      <c r="AO1006" s="75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  <c r="BM1006" s="38"/>
      <c r="BN1006" s="38"/>
      <c r="BO1006" s="38"/>
      <c r="BP1006" s="38"/>
      <c r="BQ1006" s="38"/>
      <c r="BR1006" s="38"/>
      <c r="BS1006" s="38"/>
      <c r="BT1006" s="38"/>
      <c r="BU1006" s="38"/>
      <c r="BV1006" s="38"/>
    </row>
    <row r="1007" ht="14.25" customHeight="1">
      <c r="A1007" s="74"/>
      <c r="B1007" s="38"/>
      <c r="C1007" s="38"/>
      <c r="D1007" s="38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  <c r="AI1007" s="74"/>
      <c r="AJ1007" s="74"/>
      <c r="AK1007" s="74"/>
      <c r="AL1007" s="38"/>
      <c r="AM1007" s="38"/>
      <c r="AN1007" s="75"/>
      <c r="AO1007" s="75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  <c r="BL1007" s="38"/>
      <c r="BM1007" s="38"/>
      <c r="BN1007" s="38"/>
      <c r="BO1007" s="38"/>
      <c r="BP1007" s="38"/>
      <c r="BQ1007" s="38"/>
      <c r="BR1007" s="38"/>
      <c r="BS1007" s="38"/>
      <c r="BT1007" s="38"/>
      <c r="BU1007" s="38"/>
      <c r="BV1007" s="38"/>
    </row>
    <row r="1008" ht="14.25" customHeight="1">
      <c r="A1008" s="74"/>
      <c r="B1008" s="38"/>
      <c r="C1008" s="38"/>
      <c r="D1008" s="38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  <c r="AC1008" s="74"/>
      <c r="AD1008" s="74"/>
      <c r="AE1008" s="74"/>
      <c r="AF1008" s="74"/>
      <c r="AG1008" s="74"/>
      <c r="AH1008" s="74"/>
      <c r="AI1008" s="74"/>
      <c r="AJ1008" s="74"/>
      <c r="AK1008" s="74"/>
      <c r="AL1008" s="38"/>
      <c r="AM1008" s="38"/>
      <c r="AN1008" s="75"/>
      <c r="AO1008" s="75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  <c r="BG1008" s="38"/>
      <c r="BH1008" s="38"/>
      <c r="BI1008" s="38"/>
      <c r="BJ1008" s="38"/>
      <c r="BK1008" s="38"/>
      <c r="BL1008" s="38"/>
      <c r="BM1008" s="38"/>
      <c r="BN1008" s="38"/>
      <c r="BO1008" s="38"/>
      <c r="BP1008" s="38"/>
      <c r="BQ1008" s="38"/>
      <c r="BR1008" s="38"/>
      <c r="BS1008" s="38"/>
      <c r="BT1008" s="38"/>
      <c r="BU1008" s="38"/>
      <c r="BV1008" s="38"/>
    </row>
    <row r="1009" ht="14.25" customHeight="1">
      <c r="A1009" s="74"/>
      <c r="B1009" s="38"/>
      <c r="C1009" s="38"/>
      <c r="D1009" s="38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  <c r="AI1009" s="74"/>
      <c r="AJ1009" s="74"/>
      <c r="AK1009" s="74"/>
      <c r="AL1009" s="38"/>
      <c r="AM1009" s="38"/>
      <c r="AN1009" s="75"/>
      <c r="AO1009" s="75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  <c r="BG1009" s="38"/>
      <c r="BH1009" s="38"/>
      <c r="BI1009" s="38"/>
      <c r="BJ1009" s="38"/>
      <c r="BK1009" s="38"/>
      <c r="BL1009" s="38"/>
      <c r="BM1009" s="38"/>
      <c r="BN1009" s="38"/>
      <c r="BO1009" s="38"/>
      <c r="BP1009" s="38"/>
      <c r="BQ1009" s="38"/>
      <c r="BR1009" s="38"/>
      <c r="BS1009" s="38"/>
      <c r="BT1009" s="38"/>
      <c r="BU1009" s="38"/>
      <c r="BV1009" s="38"/>
    </row>
    <row r="1010" ht="14.25" customHeight="1">
      <c r="A1010" s="74"/>
      <c r="B1010" s="38"/>
      <c r="C1010" s="38"/>
      <c r="D1010" s="38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  <c r="AI1010" s="74"/>
      <c r="AJ1010" s="74"/>
      <c r="AK1010" s="74"/>
      <c r="AL1010" s="38"/>
      <c r="AM1010" s="38"/>
      <c r="AN1010" s="75"/>
      <c r="AO1010" s="75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  <c r="BC1010" s="38"/>
      <c r="BD1010" s="38"/>
      <c r="BE1010" s="38"/>
      <c r="BF1010" s="38"/>
      <c r="BG1010" s="38"/>
      <c r="BH1010" s="38"/>
      <c r="BI1010" s="38"/>
      <c r="BJ1010" s="38"/>
      <c r="BK1010" s="38"/>
      <c r="BL1010" s="38"/>
      <c r="BM1010" s="38"/>
      <c r="BN1010" s="38"/>
      <c r="BO1010" s="38"/>
      <c r="BP1010" s="38"/>
      <c r="BQ1010" s="38"/>
      <c r="BR1010" s="38"/>
      <c r="BS1010" s="38"/>
      <c r="BT1010" s="38"/>
      <c r="BU1010" s="38"/>
      <c r="BV1010" s="38"/>
    </row>
    <row r="1011" ht="14.25" customHeight="1">
      <c r="A1011" s="74"/>
      <c r="B1011" s="38"/>
      <c r="C1011" s="38"/>
      <c r="D1011" s="38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  <c r="AI1011" s="74"/>
      <c r="AJ1011" s="74"/>
      <c r="AK1011" s="74"/>
      <c r="AL1011" s="38"/>
      <c r="AM1011" s="38"/>
      <c r="AN1011" s="75"/>
      <c r="AO1011" s="75"/>
      <c r="AP1011" s="38"/>
      <c r="AQ1011" s="38"/>
      <c r="AR1011" s="38"/>
      <c r="AS1011" s="38"/>
      <c r="AT1011" s="38"/>
      <c r="AU1011" s="38"/>
      <c r="AV1011" s="38"/>
      <c r="AW1011" s="38"/>
      <c r="AX1011" s="38"/>
      <c r="AY1011" s="38"/>
      <c r="AZ1011" s="38"/>
      <c r="BA1011" s="38"/>
      <c r="BB1011" s="38"/>
      <c r="BC1011" s="38"/>
      <c r="BD1011" s="38"/>
      <c r="BE1011" s="38"/>
      <c r="BF1011" s="38"/>
      <c r="BG1011" s="38"/>
      <c r="BH1011" s="38"/>
      <c r="BI1011" s="38"/>
      <c r="BJ1011" s="38"/>
      <c r="BK1011" s="38"/>
      <c r="BL1011" s="38"/>
      <c r="BM1011" s="38"/>
      <c r="BN1011" s="38"/>
      <c r="BO1011" s="38"/>
      <c r="BP1011" s="38"/>
      <c r="BQ1011" s="38"/>
      <c r="BR1011" s="38"/>
      <c r="BS1011" s="38"/>
      <c r="BT1011" s="38"/>
      <c r="BU1011" s="38"/>
      <c r="BV1011" s="38"/>
    </row>
    <row r="1012" ht="14.25" customHeight="1">
      <c r="A1012" s="74"/>
      <c r="B1012" s="38"/>
      <c r="C1012" s="38"/>
      <c r="D1012" s="38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  <c r="AI1012" s="74"/>
      <c r="AJ1012" s="74"/>
      <c r="AK1012" s="74"/>
      <c r="AL1012" s="38"/>
      <c r="AM1012" s="38"/>
      <c r="AN1012" s="75"/>
      <c r="AO1012" s="75"/>
      <c r="AP1012" s="38"/>
      <c r="AQ1012" s="38"/>
      <c r="AR1012" s="38"/>
      <c r="AS1012" s="38"/>
      <c r="AT1012" s="38"/>
      <c r="AU1012" s="38"/>
      <c r="AV1012" s="38"/>
      <c r="AW1012" s="38"/>
      <c r="AX1012" s="38"/>
      <c r="AY1012" s="38"/>
      <c r="AZ1012" s="38"/>
      <c r="BA1012" s="38"/>
      <c r="BB1012" s="38"/>
      <c r="BC1012" s="38"/>
      <c r="BD1012" s="38"/>
      <c r="BE1012" s="38"/>
      <c r="BF1012" s="38"/>
      <c r="BG1012" s="38"/>
      <c r="BH1012" s="38"/>
      <c r="BI1012" s="38"/>
      <c r="BJ1012" s="38"/>
      <c r="BK1012" s="38"/>
      <c r="BL1012" s="38"/>
      <c r="BM1012" s="38"/>
      <c r="BN1012" s="38"/>
      <c r="BO1012" s="38"/>
      <c r="BP1012" s="38"/>
      <c r="BQ1012" s="38"/>
      <c r="BR1012" s="38"/>
      <c r="BS1012" s="38"/>
      <c r="BT1012" s="38"/>
      <c r="BU1012" s="38"/>
      <c r="BV1012" s="38"/>
    </row>
    <row r="1013" ht="14.25" customHeight="1">
      <c r="A1013" s="74"/>
      <c r="B1013" s="38"/>
      <c r="C1013" s="38"/>
      <c r="D1013" s="38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  <c r="AH1013" s="74"/>
      <c r="AI1013" s="74"/>
      <c r="AJ1013" s="74"/>
      <c r="AK1013" s="74"/>
      <c r="AL1013" s="38"/>
      <c r="AM1013" s="38"/>
      <c r="AN1013" s="75"/>
      <c r="AO1013" s="75"/>
      <c r="AP1013" s="38"/>
      <c r="AQ1013" s="38"/>
      <c r="AR1013" s="38"/>
      <c r="AS1013" s="38"/>
      <c r="AT1013" s="38"/>
      <c r="AU1013" s="38"/>
      <c r="AV1013" s="38"/>
      <c r="AW1013" s="38"/>
      <c r="AX1013" s="38"/>
      <c r="AY1013" s="38"/>
      <c r="AZ1013" s="38"/>
      <c r="BA1013" s="38"/>
      <c r="BB1013" s="38"/>
      <c r="BC1013" s="38"/>
      <c r="BD1013" s="38"/>
      <c r="BE1013" s="38"/>
      <c r="BF1013" s="38"/>
      <c r="BG1013" s="38"/>
      <c r="BH1013" s="38"/>
      <c r="BI1013" s="38"/>
      <c r="BJ1013" s="38"/>
      <c r="BK1013" s="38"/>
      <c r="BL1013" s="38"/>
      <c r="BM1013" s="38"/>
      <c r="BN1013" s="38"/>
      <c r="BO1013" s="38"/>
      <c r="BP1013" s="38"/>
      <c r="BQ1013" s="38"/>
      <c r="BR1013" s="38"/>
      <c r="BS1013" s="38"/>
      <c r="BT1013" s="38"/>
      <c r="BU1013" s="38"/>
      <c r="BV1013" s="38"/>
    </row>
    <row r="1014" ht="14.25" customHeight="1">
      <c r="A1014" s="74"/>
      <c r="B1014" s="38"/>
      <c r="C1014" s="38"/>
      <c r="D1014" s="38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  <c r="AH1014" s="74"/>
      <c r="AI1014" s="74"/>
      <c r="AJ1014" s="74"/>
      <c r="AK1014" s="74"/>
      <c r="AL1014" s="38"/>
      <c r="AM1014" s="38"/>
      <c r="AN1014" s="75"/>
      <c r="AO1014" s="75"/>
      <c r="AP1014" s="38"/>
      <c r="AQ1014" s="38"/>
      <c r="AR1014" s="38"/>
      <c r="AS1014" s="38"/>
      <c r="AT1014" s="38"/>
      <c r="AU1014" s="38"/>
      <c r="AV1014" s="38"/>
      <c r="AW1014" s="38"/>
      <c r="AX1014" s="38"/>
      <c r="AY1014" s="38"/>
      <c r="AZ1014" s="38"/>
      <c r="BA1014" s="38"/>
      <c r="BB1014" s="38"/>
      <c r="BC1014" s="38"/>
      <c r="BD1014" s="38"/>
      <c r="BE1014" s="38"/>
      <c r="BF1014" s="38"/>
      <c r="BG1014" s="38"/>
      <c r="BH1014" s="38"/>
      <c r="BI1014" s="38"/>
      <c r="BJ1014" s="38"/>
      <c r="BK1014" s="38"/>
      <c r="BL1014" s="38"/>
      <c r="BM1014" s="38"/>
      <c r="BN1014" s="38"/>
      <c r="BO1014" s="38"/>
      <c r="BP1014" s="38"/>
      <c r="BQ1014" s="38"/>
      <c r="BR1014" s="38"/>
      <c r="BS1014" s="38"/>
      <c r="BT1014" s="38"/>
      <c r="BU1014" s="38"/>
      <c r="BV1014" s="38"/>
    </row>
    <row r="1015" ht="14.25" customHeight="1">
      <c r="A1015" s="74"/>
      <c r="B1015" s="38"/>
      <c r="C1015" s="38"/>
      <c r="D1015" s="38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  <c r="AI1015" s="74"/>
      <c r="AJ1015" s="74"/>
      <c r="AK1015" s="74"/>
      <c r="AL1015" s="38"/>
      <c r="AM1015" s="38"/>
      <c r="AN1015" s="75"/>
      <c r="AO1015" s="75"/>
      <c r="AP1015" s="38"/>
      <c r="AQ1015" s="38"/>
      <c r="AR1015" s="38"/>
      <c r="AS1015" s="38"/>
      <c r="AT1015" s="38"/>
      <c r="AU1015" s="38"/>
      <c r="AV1015" s="38"/>
      <c r="AW1015" s="38"/>
      <c r="AX1015" s="38"/>
      <c r="AY1015" s="38"/>
      <c r="AZ1015" s="38"/>
      <c r="BA1015" s="38"/>
      <c r="BB1015" s="38"/>
      <c r="BC1015" s="38"/>
      <c r="BD1015" s="38"/>
      <c r="BE1015" s="38"/>
      <c r="BF1015" s="38"/>
      <c r="BG1015" s="38"/>
      <c r="BH1015" s="38"/>
      <c r="BI1015" s="38"/>
      <c r="BJ1015" s="38"/>
      <c r="BK1015" s="38"/>
      <c r="BL1015" s="38"/>
      <c r="BM1015" s="38"/>
      <c r="BN1015" s="38"/>
      <c r="BO1015" s="38"/>
      <c r="BP1015" s="38"/>
      <c r="BQ1015" s="38"/>
      <c r="BR1015" s="38"/>
      <c r="BS1015" s="38"/>
      <c r="BT1015" s="38"/>
      <c r="BU1015" s="38"/>
      <c r="BV1015" s="38"/>
    </row>
    <row r="1016" ht="14.25" customHeight="1">
      <c r="A1016" s="74"/>
      <c r="B1016" s="38"/>
      <c r="C1016" s="38"/>
      <c r="D1016" s="38"/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4"/>
      <c r="P1016" s="7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  <c r="AH1016" s="74"/>
      <c r="AI1016" s="74"/>
      <c r="AJ1016" s="74"/>
      <c r="AK1016" s="74"/>
      <c r="AL1016" s="38"/>
      <c r="AM1016" s="38"/>
      <c r="AN1016" s="75"/>
      <c r="AO1016" s="75"/>
      <c r="AP1016" s="38"/>
      <c r="AQ1016" s="38"/>
      <c r="AR1016" s="38"/>
      <c r="AS1016" s="38"/>
      <c r="AT1016" s="38"/>
      <c r="AU1016" s="38"/>
      <c r="AV1016" s="38"/>
      <c r="AW1016" s="38"/>
      <c r="AX1016" s="38"/>
      <c r="AY1016" s="38"/>
      <c r="AZ1016" s="38"/>
      <c r="BA1016" s="38"/>
      <c r="BB1016" s="38"/>
      <c r="BC1016" s="38"/>
      <c r="BD1016" s="38"/>
      <c r="BE1016" s="38"/>
      <c r="BF1016" s="38"/>
      <c r="BG1016" s="38"/>
      <c r="BH1016" s="38"/>
      <c r="BI1016" s="38"/>
      <c r="BJ1016" s="38"/>
      <c r="BK1016" s="38"/>
      <c r="BL1016" s="38"/>
      <c r="BM1016" s="38"/>
      <c r="BN1016" s="38"/>
      <c r="BO1016" s="38"/>
      <c r="BP1016" s="38"/>
      <c r="BQ1016" s="38"/>
      <c r="BR1016" s="38"/>
      <c r="BS1016" s="38"/>
      <c r="BT1016" s="38"/>
      <c r="BU1016" s="38"/>
      <c r="BV1016" s="38"/>
    </row>
    <row r="1017" ht="14.25" customHeight="1">
      <c r="A1017" s="74"/>
      <c r="B1017" s="38"/>
      <c r="C1017" s="38"/>
      <c r="D1017" s="38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4"/>
      <c r="P1017" s="74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C1017" s="74"/>
      <c r="AD1017" s="74"/>
      <c r="AE1017" s="74"/>
      <c r="AF1017" s="74"/>
      <c r="AG1017" s="74"/>
      <c r="AH1017" s="74"/>
      <c r="AI1017" s="74"/>
      <c r="AJ1017" s="74"/>
      <c r="AK1017" s="74"/>
      <c r="AL1017" s="38"/>
      <c r="AM1017" s="38"/>
      <c r="AN1017" s="75"/>
      <c r="AO1017" s="75"/>
      <c r="AP1017" s="38"/>
      <c r="AQ1017" s="38"/>
      <c r="AR1017" s="38"/>
      <c r="AS1017" s="38"/>
      <c r="AT1017" s="38"/>
      <c r="AU1017" s="38"/>
      <c r="AV1017" s="38"/>
      <c r="AW1017" s="38"/>
      <c r="AX1017" s="38"/>
      <c r="AY1017" s="38"/>
      <c r="AZ1017" s="38"/>
      <c r="BA1017" s="38"/>
      <c r="BB1017" s="38"/>
      <c r="BC1017" s="38"/>
      <c r="BD1017" s="38"/>
      <c r="BE1017" s="38"/>
      <c r="BF1017" s="38"/>
      <c r="BG1017" s="38"/>
      <c r="BH1017" s="38"/>
      <c r="BI1017" s="38"/>
      <c r="BJ1017" s="38"/>
      <c r="BK1017" s="38"/>
      <c r="BL1017" s="38"/>
      <c r="BM1017" s="38"/>
      <c r="BN1017" s="38"/>
      <c r="BO1017" s="38"/>
      <c r="BP1017" s="38"/>
      <c r="BQ1017" s="38"/>
      <c r="BR1017" s="38"/>
      <c r="BS1017" s="38"/>
      <c r="BT1017" s="38"/>
      <c r="BU1017" s="38"/>
      <c r="BV1017" s="38"/>
    </row>
    <row r="1018" ht="14.25" customHeight="1">
      <c r="A1018" s="74"/>
      <c r="B1018" s="38"/>
      <c r="C1018" s="38"/>
      <c r="D1018" s="38"/>
      <c r="E1018" s="74"/>
      <c r="F1018" s="74"/>
      <c r="G1018" s="74"/>
      <c r="H1018" s="74"/>
      <c r="I1018" s="74"/>
      <c r="J1018" s="74"/>
      <c r="K1018" s="74"/>
      <c r="L1018" s="74"/>
      <c r="M1018" s="74"/>
      <c r="N1018" s="74"/>
      <c r="O1018" s="74"/>
      <c r="P1018" s="74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  <c r="AC1018" s="74"/>
      <c r="AD1018" s="74"/>
      <c r="AE1018" s="74"/>
      <c r="AF1018" s="74"/>
      <c r="AG1018" s="74"/>
      <c r="AH1018" s="74"/>
      <c r="AI1018" s="74"/>
      <c r="AJ1018" s="74"/>
      <c r="AK1018" s="74"/>
      <c r="AL1018" s="38"/>
      <c r="AM1018" s="38"/>
      <c r="AN1018" s="75"/>
      <c r="AO1018" s="75"/>
      <c r="AP1018" s="38"/>
      <c r="AQ1018" s="38"/>
      <c r="AR1018" s="38"/>
      <c r="AS1018" s="38"/>
      <c r="AT1018" s="38"/>
      <c r="AU1018" s="38"/>
      <c r="AV1018" s="38"/>
      <c r="AW1018" s="38"/>
      <c r="AX1018" s="38"/>
      <c r="AY1018" s="38"/>
      <c r="AZ1018" s="38"/>
      <c r="BA1018" s="38"/>
      <c r="BB1018" s="38"/>
      <c r="BC1018" s="38"/>
      <c r="BD1018" s="38"/>
      <c r="BE1018" s="38"/>
      <c r="BF1018" s="38"/>
      <c r="BG1018" s="38"/>
      <c r="BH1018" s="38"/>
      <c r="BI1018" s="38"/>
      <c r="BJ1018" s="38"/>
      <c r="BK1018" s="38"/>
      <c r="BL1018" s="38"/>
      <c r="BM1018" s="38"/>
      <c r="BN1018" s="38"/>
      <c r="BO1018" s="38"/>
      <c r="BP1018" s="38"/>
      <c r="BQ1018" s="38"/>
      <c r="BR1018" s="38"/>
      <c r="BS1018" s="38"/>
      <c r="BT1018" s="38"/>
      <c r="BU1018" s="38"/>
      <c r="BV1018" s="38"/>
    </row>
    <row r="1019" ht="14.25" customHeight="1">
      <c r="A1019" s="74"/>
      <c r="B1019" s="38"/>
      <c r="C1019" s="38"/>
      <c r="D1019" s="38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4"/>
      <c r="P1019" s="74"/>
      <c r="Q1019" s="74"/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  <c r="AC1019" s="74"/>
      <c r="AD1019" s="74"/>
      <c r="AE1019" s="74"/>
      <c r="AF1019" s="74"/>
      <c r="AG1019" s="74"/>
      <c r="AH1019" s="74"/>
      <c r="AI1019" s="74"/>
      <c r="AJ1019" s="74"/>
      <c r="AK1019" s="74"/>
      <c r="AL1019" s="38"/>
      <c r="AM1019" s="38"/>
      <c r="AN1019" s="75"/>
      <c r="AO1019" s="75"/>
      <c r="AP1019" s="38"/>
      <c r="AQ1019" s="38"/>
      <c r="AR1019" s="38"/>
      <c r="AS1019" s="38"/>
      <c r="AT1019" s="38"/>
      <c r="AU1019" s="38"/>
      <c r="AV1019" s="38"/>
      <c r="AW1019" s="38"/>
      <c r="AX1019" s="38"/>
      <c r="AY1019" s="38"/>
      <c r="AZ1019" s="38"/>
      <c r="BA1019" s="38"/>
      <c r="BB1019" s="38"/>
      <c r="BC1019" s="38"/>
      <c r="BD1019" s="38"/>
      <c r="BE1019" s="38"/>
      <c r="BF1019" s="38"/>
      <c r="BG1019" s="38"/>
      <c r="BH1019" s="38"/>
      <c r="BI1019" s="38"/>
      <c r="BJ1019" s="38"/>
      <c r="BK1019" s="38"/>
      <c r="BL1019" s="38"/>
      <c r="BM1019" s="38"/>
      <c r="BN1019" s="38"/>
      <c r="BO1019" s="38"/>
      <c r="BP1019" s="38"/>
      <c r="BQ1019" s="38"/>
      <c r="BR1019" s="38"/>
      <c r="BS1019" s="38"/>
      <c r="BT1019" s="38"/>
      <c r="BU1019" s="38"/>
      <c r="BV1019" s="38"/>
    </row>
    <row r="1020" ht="14.25" customHeight="1">
      <c r="A1020" s="74"/>
      <c r="B1020" s="38"/>
      <c r="C1020" s="38"/>
      <c r="D1020" s="38"/>
      <c r="E1020" s="74"/>
      <c r="F1020" s="74"/>
      <c r="G1020" s="74"/>
      <c r="H1020" s="74"/>
      <c r="I1020" s="74"/>
      <c r="J1020" s="74"/>
      <c r="K1020" s="74"/>
      <c r="L1020" s="74"/>
      <c r="M1020" s="74"/>
      <c r="N1020" s="74"/>
      <c r="O1020" s="74"/>
      <c r="P1020" s="74"/>
      <c r="Q1020" s="74"/>
      <c r="R1020" s="74"/>
      <c r="S1020" s="74"/>
      <c r="T1020" s="74"/>
      <c r="U1020" s="74"/>
      <c r="V1020" s="74"/>
      <c r="W1020" s="74"/>
      <c r="X1020" s="74"/>
      <c r="Y1020" s="74"/>
      <c r="Z1020" s="74"/>
      <c r="AA1020" s="74"/>
      <c r="AB1020" s="74"/>
      <c r="AC1020" s="74"/>
      <c r="AD1020" s="74"/>
      <c r="AE1020" s="74"/>
      <c r="AF1020" s="74"/>
      <c r="AG1020" s="74"/>
      <c r="AH1020" s="74"/>
      <c r="AI1020" s="74"/>
      <c r="AJ1020" s="74"/>
      <c r="AK1020" s="74"/>
      <c r="AL1020" s="38"/>
      <c r="AM1020" s="38"/>
      <c r="AN1020" s="75"/>
      <c r="AO1020" s="75"/>
      <c r="AP1020" s="38"/>
      <c r="AQ1020" s="38"/>
      <c r="AR1020" s="38"/>
      <c r="AS1020" s="38"/>
      <c r="AT1020" s="38"/>
      <c r="AU1020" s="38"/>
      <c r="AV1020" s="38"/>
      <c r="AW1020" s="38"/>
      <c r="AX1020" s="38"/>
      <c r="AY1020" s="38"/>
      <c r="AZ1020" s="38"/>
      <c r="BA1020" s="38"/>
      <c r="BB1020" s="38"/>
      <c r="BC1020" s="38"/>
      <c r="BD1020" s="38"/>
      <c r="BE1020" s="38"/>
      <c r="BF1020" s="38"/>
      <c r="BG1020" s="38"/>
      <c r="BH1020" s="38"/>
      <c r="BI1020" s="38"/>
      <c r="BJ1020" s="38"/>
      <c r="BK1020" s="38"/>
      <c r="BL1020" s="38"/>
      <c r="BM1020" s="38"/>
      <c r="BN1020" s="38"/>
      <c r="BO1020" s="38"/>
      <c r="BP1020" s="38"/>
      <c r="BQ1020" s="38"/>
      <c r="BR1020" s="38"/>
      <c r="BS1020" s="38"/>
      <c r="BT1020" s="38"/>
      <c r="BU1020" s="38"/>
      <c r="BV1020" s="38"/>
    </row>
    <row r="1021" ht="14.25" customHeight="1">
      <c r="A1021" s="74"/>
      <c r="B1021" s="38"/>
      <c r="C1021" s="38"/>
      <c r="D1021" s="38"/>
      <c r="E1021" s="74"/>
      <c r="F1021" s="74"/>
      <c r="G1021" s="74"/>
      <c r="H1021" s="74"/>
      <c r="I1021" s="74"/>
      <c r="J1021" s="74"/>
      <c r="K1021" s="74"/>
      <c r="L1021" s="74"/>
      <c r="M1021" s="74"/>
      <c r="N1021" s="74"/>
      <c r="O1021" s="74"/>
      <c r="P1021" s="74"/>
      <c r="Q1021" s="74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  <c r="AH1021" s="74"/>
      <c r="AI1021" s="74"/>
      <c r="AJ1021" s="74"/>
      <c r="AK1021" s="74"/>
      <c r="AL1021" s="38"/>
      <c r="AM1021" s="38"/>
      <c r="AN1021" s="75"/>
      <c r="AO1021" s="75"/>
      <c r="AP1021" s="38"/>
      <c r="AQ1021" s="38"/>
      <c r="AR1021" s="38"/>
      <c r="AS1021" s="38"/>
      <c r="AT1021" s="38"/>
      <c r="AU1021" s="38"/>
      <c r="AV1021" s="38"/>
      <c r="AW1021" s="38"/>
      <c r="AX1021" s="38"/>
      <c r="AY1021" s="38"/>
      <c r="AZ1021" s="38"/>
      <c r="BA1021" s="38"/>
      <c r="BB1021" s="38"/>
      <c r="BC1021" s="38"/>
      <c r="BD1021" s="38"/>
      <c r="BE1021" s="38"/>
      <c r="BF1021" s="38"/>
      <c r="BG1021" s="38"/>
      <c r="BH1021" s="38"/>
      <c r="BI1021" s="38"/>
      <c r="BJ1021" s="38"/>
      <c r="BK1021" s="38"/>
      <c r="BL1021" s="38"/>
      <c r="BM1021" s="38"/>
      <c r="BN1021" s="38"/>
      <c r="BO1021" s="38"/>
      <c r="BP1021" s="38"/>
      <c r="BQ1021" s="38"/>
      <c r="BR1021" s="38"/>
      <c r="BS1021" s="38"/>
      <c r="BT1021" s="38"/>
      <c r="BU1021" s="38"/>
      <c r="BV1021" s="38"/>
    </row>
    <row r="1022" ht="14.25" customHeight="1">
      <c r="A1022" s="74"/>
      <c r="B1022" s="38"/>
      <c r="C1022" s="38"/>
      <c r="D1022" s="38"/>
      <c r="E1022" s="74"/>
      <c r="F1022" s="74"/>
      <c r="G1022" s="74"/>
      <c r="H1022" s="74"/>
      <c r="I1022" s="74"/>
      <c r="J1022" s="74"/>
      <c r="K1022" s="74"/>
      <c r="L1022" s="74"/>
      <c r="M1022" s="74"/>
      <c r="N1022" s="74"/>
      <c r="O1022" s="74"/>
      <c r="P1022" s="74"/>
      <c r="Q1022" s="74"/>
      <c r="R1022" s="74"/>
      <c r="S1022" s="74"/>
      <c r="T1022" s="74"/>
      <c r="U1022" s="74"/>
      <c r="V1022" s="74"/>
      <c r="W1022" s="74"/>
      <c r="X1022" s="74"/>
      <c r="Y1022" s="74"/>
      <c r="Z1022" s="74"/>
      <c r="AA1022" s="74"/>
      <c r="AB1022" s="74"/>
      <c r="AC1022" s="74"/>
      <c r="AD1022" s="74"/>
      <c r="AE1022" s="74"/>
      <c r="AF1022" s="74"/>
      <c r="AG1022" s="74"/>
      <c r="AH1022" s="74"/>
      <c r="AI1022" s="74"/>
      <c r="AJ1022" s="74"/>
      <c r="AK1022" s="74"/>
      <c r="AL1022" s="38"/>
      <c r="AM1022" s="38"/>
      <c r="AN1022" s="75"/>
      <c r="AO1022" s="75"/>
      <c r="AP1022" s="38"/>
      <c r="AQ1022" s="38"/>
      <c r="AR1022" s="38"/>
      <c r="AS1022" s="38"/>
      <c r="AT1022" s="38"/>
      <c r="AU1022" s="38"/>
      <c r="AV1022" s="38"/>
      <c r="AW1022" s="38"/>
      <c r="AX1022" s="38"/>
      <c r="AY1022" s="38"/>
      <c r="AZ1022" s="38"/>
      <c r="BA1022" s="38"/>
      <c r="BB1022" s="38"/>
      <c r="BC1022" s="38"/>
      <c r="BD1022" s="38"/>
      <c r="BE1022" s="38"/>
      <c r="BF1022" s="38"/>
      <c r="BG1022" s="38"/>
      <c r="BH1022" s="38"/>
      <c r="BI1022" s="38"/>
      <c r="BJ1022" s="38"/>
      <c r="BK1022" s="38"/>
      <c r="BL1022" s="38"/>
      <c r="BM1022" s="38"/>
      <c r="BN1022" s="38"/>
      <c r="BO1022" s="38"/>
      <c r="BP1022" s="38"/>
      <c r="BQ1022" s="38"/>
      <c r="BR1022" s="38"/>
      <c r="BS1022" s="38"/>
      <c r="BT1022" s="38"/>
      <c r="BU1022" s="38"/>
      <c r="BV1022" s="38"/>
    </row>
    <row r="1023" ht="14.25" customHeight="1">
      <c r="A1023" s="74"/>
      <c r="B1023" s="38"/>
      <c r="C1023" s="38"/>
      <c r="D1023" s="38"/>
      <c r="E1023" s="74"/>
      <c r="F1023" s="74"/>
      <c r="G1023" s="74"/>
      <c r="H1023" s="74"/>
      <c r="I1023" s="74"/>
      <c r="J1023" s="74"/>
      <c r="K1023" s="74"/>
      <c r="L1023" s="74"/>
      <c r="M1023" s="74"/>
      <c r="N1023" s="74"/>
      <c r="O1023" s="74"/>
      <c r="P1023" s="74"/>
      <c r="Q1023" s="74"/>
      <c r="R1023" s="74"/>
      <c r="S1023" s="74"/>
      <c r="T1023" s="74"/>
      <c r="U1023" s="74"/>
      <c r="V1023" s="74"/>
      <c r="W1023" s="74"/>
      <c r="X1023" s="74"/>
      <c r="Y1023" s="74"/>
      <c r="Z1023" s="74"/>
      <c r="AA1023" s="74"/>
      <c r="AB1023" s="74"/>
      <c r="AC1023" s="74"/>
      <c r="AD1023" s="74"/>
      <c r="AE1023" s="74"/>
      <c r="AF1023" s="74"/>
      <c r="AG1023" s="74"/>
      <c r="AH1023" s="74"/>
      <c r="AI1023" s="74"/>
      <c r="AJ1023" s="74"/>
      <c r="AK1023" s="74"/>
      <c r="AL1023" s="38"/>
      <c r="AM1023" s="38"/>
      <c r="AN1023" s="75"/>
      <c r="AO1023" s="75"/>
      <c r="AP1023" s="38"/>
      <c r="AQ1023" s="38"/>
      <c r="AR1023" s="38"/>
      <c r="AS1023" s="38"/>
      <c r="AT1023" s="38"/>
      <c r="AU1023" s="38"/>
      <c r="AV1023" s="38"/>
      <c r="AW1023" s="38"/>
      <c r="AX1023" s="38"/>
      <c r="AY1023" s="38"/>
      <c r="AZ1023" s="38"/>
      <c r="BA1023" s="38"/>
      <c r="BB1023" s="38"/>
      <c r="BC1023" s="38"/>
      <c r="BD1023" s="38"/>
      <c r="BE1023" s="38"/>
      <c r="BF1023" s="38"/>
      <c r="BG1023" s="38"/>
      <c r="BH1023" s="38"/>
      <c r="BI1023" s="38"/>
      <c r="BJ1023" s="38"/>
      <c r="BK1023" s="38"/>
      <c r="BL1023" s="38"/>
      <c r="BM1023" s="38"/>
      <c r="BN1023" s="38"/>
      <c r="BO1023" s="38"/>
      <c r="BP1023" s="38"/>
      <c r="BQ1023" s="38"/>
      <c r="BR1023" s="38"/>
      <c r="BS1023" s="38"/>
      <c r="BT1023" s="38"/>
      <c r="BU1023" s="38"/>
      <c r="BV1023" s="38"/>
    </row>
    <row r="1024" ht="14.25" customHeight="1">
      <c r="A1024" s="74"/>
      <c r="B1024" s="38"/>
      <c r="C1024" s="38"/>
      <c r="D1024" s="38"/>
      <c r="E1024" s="74"/>
      <c r="F1024" s="74"/>
      <c r="G1024" s="74"/>
      <c r="H1024" s="74"/>
      <c r="I1024" s="74"/>
      <c r="J1024" s="74"/>
      <c r="K1024" s="74"/>
      <c r="L1024" s="74"/>
      <c r="M1024" s="74"/>
      <c r="N1024" s="74"/>
      <c r="O1024" s="74"/>
      <c r="P1024" s="74"/>
      <c r="Q1024" s="74"/>
      <c r="R1024" s="74"/>
      <c r="S1024" s="74"/>
      <c r="T1024" s="74"/>
      <c r="U1024" s="74"/>
      <c r="V1024" s="74"/>
      <c r="W1024" s="74"/>
      <c r="X1024" s="74"/>
      <c r="Y1024" s="74"/>
      <c r="Z1024" s="74"/>
      <c r="AA1024" s="74"/>
      <c r="AB1024" s="74"/>
      <c r="AC1024" s="74"/>
      <c r="AD1024" s="74"/>
      <c r="AE1024" s="74"/>
      <c r="AF1024" s="74"/>
      <c r="AG1024" s="74"/>
      <c r="AH1024" s="74"/>
      <c r="AI1024" s="74"/>
      <c r="AJ1024" s="74"/>
      <c r="AK1024" s="74"/>
      <c r="AL1024" s="38"/>
      <c r="AM1024" s="38"/>
      <c r="AN1024" s="75"/>
      <c r="AO1024" s="75"/>
      <c r="AP1024" s="38"/>
      <c r="AQ1024" s="38"/>
      <c r="AR1024" s="38"/>
      <c r="AS1024" s="38"/>
      <c r="AT1024" s="38"/>
      <c r="AU1024" s="38"/>
      <c r="AV1024" s="38"/>
      <c r="AW1024" s="38"/>
      <c r="AX1024" s="38"/>
      <c r="AY1024" s="38"/>
      <c r="AZ1024" s="38"/>
      <c r="BA1024" s="38"/>
      <c r="BB1024" s="38"/>
      <c r="BC1024" s="38"/>
      <c r="BD1024" s="38"/>
      <c r="BE1024" s="38"/>
      <c r="BF1024" s="38"/>
      <c r="BG1024" s="38"/>
      <c r="BH1024" s="38"/>
      <c r="BI1024" s="38"/>
      <c r="BJ1024" s="38"/>
      <c r="BK1024" s="38"/>
      <c r="BL1024" s="38"/>
      <c r="BM1024" s="38"/>
      <c r="BN1024" s="38"/>
      <c r="BO1024" s="38"/>
      <c r="BP1024" s="38"/>
      <c r="BQ1024" s="38"/>
      <c r="BR1024" s="38"/>
      <c r="BS1024" s="38"/>
      <c r="BT1024" s="38"/>
      <c r="BU1024" s="38"/>
      <c r="BV1024" s="38"/>
    </row>
    <row r="1025" ht="14.25" customHeight="1">
      <c r="A1025" s="74"/>
      <c r="B1025" s="38"/>
      <c r="C1025" s="38"/>
      <c r="D1025" s="38"/>
      <c r="E1025" s="74"/>
      <c r="F1025" s="74"/>
      <c r="G1025" s="74"/>
      <c r="H1025" s="74"/>
      <c r="I1025" s="74"/>
      <c r="J1025" s="74"/>
      <c r="K1025" s="74"/>
      <c r="L1025" s="74"/>
      <c r="M1025" s="74"/>
      <c r="N1025" s="74"/>
      <c r="O1025" s="74"/>
      <c r="P1025" s="74"/>
      <c r="Q1025" s="74"/>
      <c r="R1025" s="74"/>
      <c r="S1025" s="74"/>
      <c r="T1025" s="74"/>
      <c r="U1025" s="74"/>
      <c r="V1025" s="74"/>
      <c r="W1025" s="74"/>
      <c r="X1025" s="74"/>
      <c r="Y1025" s="74"/>
      <c r="Z1025" s="74"/>
      <c r="AA1025" s="74"/>
      <c r="AB1025" s="74"/>
      <c r="AC1025" s="74"/>
      <c r="AD1025" s="74"/>
      <c r="AE1025" s="74"/>
      <c r="AF1025" s="74"/>
      <c r="AG1025" s="74"/>
      <c r="AH1025" s="74"/>
      <c r="AI1025" s="74"/>
      <c r="AJ1025" s="74"/>
      <c r="AK1025" s="74"/>
      <c r="AL1025" s="38"/>
      <c r="AM1025" s="38"/>
      <c r="AN1025" s="75"/>
      <c r="AO1025" s="75"/>
      <c r="AP1025" s="38"/>
      <c r="AQ1025" s="38"/>
      <c r="AR1025" s="38"/>
      <c r="AS1025" s="38"/>
      <c r="AT1025" s="38"/>
      <c r="AU1025" s="38"/>
      <c r="AV1025" s="38"/>
      <c r="AW1025" s="38"/>
      <c r="AX1025" s="38"/>
      <c r="AY1025" s="38"/>
      <c r="AZ1025" s="38"/>
      <c r="BA1025" s="38"/>
      <c r="BB1025" s="38"/>
      <c r="BC1025" s="38"/>
      <c r="BD1025" s="38"/>
      <c r="BE1025" s="38"/>
      <c r="BF1025" s="38"/>
      <c r="BG1025" s="38"/>
      <c r="BH1025" s="38"/>
      <c r="BI1025" s="38"/>
      <c r="BJ1025" s="38"/>
      <c r="BK1025" s="38"/>
      <c r="BL1025" s="38"/>
      <c r="BM1025" s="38"/>
      <c r="BN1025" s="38"/>
      <c r="BO1025" s="38"/>
      <c r="BP1025" s="38"/>
      <c r="BQ1025" s="38"/>
      <c r="BR1025" s="38"/>
      <c r="BS1025" s="38"/>
      <c r="BT1025" s="38"/>
      <c r="BU1025" s="38"/>
      <c r="BV1025" s="38"/>
    </row>
    <row r="1026" ht="14.25" customHeight="1">
      <c r="A1026" s="74"/>
      <c r="B1026" s="38"/>
      <c r="C1026" s="38"/>
      <c r="D1026" s="38"/>
      <c r="E1026" s="74"/>
      <c r="F1026" s="74"/>
      <c r="G1026" s="74"/>
      <c r="H1026" s="74"/>
      <c r="I1026" s="74"/>
      <c r="J1026" s="74"/>
      <c r="K1026" s="74"/>
      <c r="L1026" s="74"/>
      <c r="M1026" s="74"/>
      <c r="N1026" s="74"/>
      <c r="O1026" s="74"/>
      <c r="P1026" s="74"/>
      <c r="Q1026" s="74"/>
      <c r="R1026" s="74"/>
      <c r="S1026" s="74"/>
      <c r="T1026" s="74"/>
      <c r="U1026" s="74"/>
      <c r="V1026" s="74"/>
      <c r="W1026" s="74"/>
      <c r="X1026" s="74"/>
      <c r="Y1026" s="74"/>
      <c r="Z1026" s="74"/>
      <c r="AA1026" s="74"/>
      <c r="AB1026" s="74"/>
      <c r="AC1026" s="74"/>
      <c r="AD1026" s="74"/>
      <c r="AE1026" s="74"/>
      <c r="AF1026" s="74"/>
      <c r="AG1026" s="74"/>
      <c r="AH1026" s="74"/>
      <c r="AI1026" s="74"/>
      <c r="AJ1026" s="74"/>
      <c r="AK1026" s="74"/>
      <c r="AL1026" s="38"/>
      <c r="AM1026" s="38"/>
      <c r="AN1026" s="75"/>
      <c r="AO1026" s="75"/>
      <c r="AP1026" s="38"/>
      <c r="AQ1026" s="38"/>
      <c r="AR1026" s="38"/>
      <c r="AS1026" s="38"/>
      <c r="AT1026" s="38"/>
      <c r="AU1026" s="38"/>
      <c r="AV1026" s="38"/>
      <c r="AW1026" s="38"/>
      <c r="AX1026" s="38"/>
      <c r="AY1026" s="38"/>
      <c r="AZ1026" s="38"/>
      <c r="BA1026" s="38"/>
      <c r="BB1026" s="38"/>
      <c r="BC1026" s="38"/>
      <c r="BD1026" s="38"/>
      <c r="BE1026" s="38"/>
      <c r="BF1026" s="38"/>
      <c r="BG1026" s="38"/>
      <c r="BH1026" s="38"/>
      <c r="BI1026" s="38"/>
      <c r="BJ1026" s="38"/>
      <c r="BK1026" s="38"/>
      <c r="BL1026" s="38"/>
      <c r="BM1026" s="38"/>
      <c r="BN1026" s="38"/>
      <c r="BO1026" s="38"/>
      <c r="BP1026" s="38"/>
      <c r="BQ1026" s="38"/>
      <c r="BR1026" s="38"/>
      <c r="BS1026" s="38"/>
      <c r="BT1026" s="38"/>
      <c r="BU1026" s="38"/>
      <c r="BV1026" s="38"/>
    </row>
    <row r="1027" ht="14.25" customHeight="1">
      <c r="A1027" s="74"/>
      <c r="B1027" s="38"/>
      <c r="C1027" s="38"/>
      <c r="D1027" s="38"/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4"/>
      <c r="P1027" s="74"/>
      <c r="Q1027" s="74"/>
      <c r="R1027" s="74"/>
      <c r="S1027" s="74"/>
      <c r="T1027" s="74"/>
      <c r="U1027" s="74"/>
      <c r="V1027" s="74"/>
      <c r="W1027" s="74"/>
      <c r="X1027" s="74"/>
      <c r="Y1027" s="74"/>
      <c r="Z1027" s="74"/>
      <c r="AA1027" s="74"/>
      <c r="AB1027" s="74"/>
      <c r="AC1027" s="74"/>
      <c r="AD1027" s="74"/>
      <c r="AE1027" s="74"/>
      <c r="AF1027" s="74"/>
      <c r="AG1027" s="74"/>
      <c r="AH1027" s="74"/>
      <c r="AI1027" s="74"/>
      <c r="AJ1027" s="74"/>
      <c r="AK1027" s="74"/>
      <c r="AL1027" s="38"/>
      <c r="AM1027" s="38"/>
      <c r="AN1027" s="75"/>
      <c r="AO1027" s="75"/>
      <c r="AP1027" s="38"/>
      <c r="AQ1027" s="38"/>
      <c r="AR1027" s="38"/>
      <c r="AS1027" s="38"/>
      <c r="AT1027" s="38"/>
      <c r="AU1027" s="38"/>
      <c r="AV1027" s="38"/>
      <c r="AW1027" s="38"/>
      <c r="AX1027" s="38"/>
      <c r="AY1027" s="38"/>
      <c r="AZ1027" s="38"/>
      <c r="BA1027" s="38"/>
      <c r="BB1027" s="38"/>
      <c r="BC1027" s="38"/>
      <c r="BD1027" s="38"/>
      <c r="BE1027" s="38"/>
      <c r="BF1027" s="38"/>
      <c r="BG1027" s="38"/>
      <c r="BH1027" s="38"/>
      <c r="BI1027" s="38"/>
      <c r="BJ1027" s="38"/>
      <c r="BK1027" s="38"/>
      <c r="BL1027" s="38"/>
      <c r="BM1027" s="38"/>
      <c r="BN1027" s="38"/>
      <c r="BO1027" s="38"/>
      <c r="BP1027" s="38"/>
      <c r="BQ1027" s="38"/>
      <c r="BR1027" s="38"/>
      <c r="BS1027" s="38"/>
      <c r="BT1027" s="38"/>
      <c r="BU1027" s="38"/>
      <c r="BV1027" s="38"/>
    </row>
    <row r="1028" ht="14.25" customHeight="1">
      <c r="A1028" s="74"/>
      <c r="B1028" s="38"/>
      <c r="C1028" s="38"/>
      <c r="D1028" s="38"/>
      <c r="E1028" s="74"/>
      <c r="F1028" s="74"/>
      <c r="G1028" s="74"/>
      <c r="H1028" s="74"/>
      <c r="I1028" s="74"/>
      <c r="J1028" s="74"/>
      <c r="K1028" s="74"/>
      <c r="L1028" s="74"/>
      <c r="M1028" s="74"/>
      <c r="N1028" s="74"/>
      <c r="O1028" s="74"/>
      <c r="P1028" s="74"/>
      <c r="Q1028" s="74"/>
      <c r="R1028" s="74"/>
      <c r="S1028" s="74"/>
      <c r="T1028" s="74"/>
      <c r="U1028" s="74"/>
      <c r="V1028" s="74"/>
      <c r="W1028" s="74"/>
      <c r="X1028" s="74"/>
      <c r="Y1028" s="74"/>
      <c r="Z1028" s="74"/>
      <c r="AA1028" s="74"/>
      <c r="AB1028" s="74"/>
      <c r="AC1028" s="74"/>
      <c r="AD1028" s="74"/>
      <c r="AE1028" s="74"/>
      <c r="AF1028" s="74"/>
      <c r="AG1028" s="74"/>
      <c r="AH1028" s="74"/>
      <c r="AI1028" s="74"/>
      <c r="AJ1028" s="74"/>
      <c r="AK1028" s="74"/>
      <c r="AL1028" s="38"/>
      <c r="AM1028" s="38"/>
      <c r="AN1028" s="75"/>
      <c r="AO1028" s="75"/>
      <c r="AP1028" s="38"/>
      <c r="AQ1028" s="38"/>
      <c r="AR1028" s="38"/>
      <c r="AS1028" s="38"/>
      <c r="AT1028" s="38"/>
      <c r="AU1028" s="38"/>
      <c r="AV1028" s="38"/>
      <c r="AW1028" s="38"/>
      <c r="AX1028" s="38"/>
      <c r="AY1028" s="38"/>
      <c r="AZ1028" s="38"/>
      <c r="BA1028" s="38"/>
      <c r="BB1028" s="38"/>
      <c r="BC1028" s="38"/>
      <c r="BD1028" s="38"/>
      <c r="BE1028" s="38"/>
      <c r="BF1028" s="38"/>
      <c r="BG1028" s="38"/>
      <c r="BH1028" s="38"/>
      <c r="BI1028" s="38"/>
      <c r="BJ1028" s="38"/>
      <c r="BK1028" s="38"/>
      <c r="BL1028" s="38"/>
      <c r="BM1028" s="38"/>
      <c r="BN1028" s="38"/>
      <c r="BO1028" s="38"/>
      <c r="BP1028" s="38"/>
      <c r="BQ1028" s="38"/>
      <c r="BR1028" s="38"/>
      <c r="BS1028" s="38"/>
      <c r="BT1028" s="38"/>
      <c r="BU1028" s="38"/>
      <c r="BV1028" s="38"/>
    </row>
    <row r="1029" ht="14.25" customHeight="1">
      <c r="A1029" s="74"/>
      <c r="B1029" s="38"/>
      <c r="C1029" s="38"/>
      <c r="D1029" s="38"/>
      <c r="E1029" s="74"/>
      <c r="F1029" s="74"/>
      <c r="G1029" s="74"/>
      <c r="H1029" s="74"/>
      <c r="I1029" s="74"/>
      <c r="J1029" s="74"/>
      <c r="K1029" s="74"/>
      <c r="L1029" s="74"/>
      <c r="M1029" s="74"/>
      <c r="N1029" s="74"/>
      <c r="O1029" s="74"/>
      <c r="P1029" s="74"/>
      <c r="Q1029" s="74"/>
      <c r="R1029" s="74"/>
      <c r="S1029" s="74"/>
      <c r="T1029" s="74"/>
      <c r="U1029" s="74"/>
      <c r="V1029" s="74"/>
      <c r="W1029" s="74"/>
      <c r="X1029" s="74"/>
      <c r="Y1029" s="74"/>
      <c r="Z1029" s="74"/>
      <c r="AA1029" s="74"/>
      <c r="AB1029" s="74"/>
      <c r="AC1029" s="74"/>
      <c r="AD1029" s="74"/>
      <c r="AE1029" s="74"/>
      <c r="AF1029" s="74"/>
      <c r="AG1029" s="74"/>
      <c r="AH1029" s="74"/>
      <c r="AI1029" s="74"/>
      <c r="AJ1029" s="74"/>
      <c r="AK1029" s="74"/>
      <c r="AL1029" s="38"/>
      <c r="AM1029" s="38"/>
      <c r="AN1029" s="75"/>
      <c r="AO1029" s="75"/>
      <c r="AP1029" s="38"/>
      <c r="AQ1029" s="38"/>
      <c r="AR1029" s="38"/>
      <c r="AS1029" s="38"/>
      <c r="AT1029" s="38"/>
      <c r="AU1029" s="38"/>
      <c r="AV1029" s="38"/>
      <c r="AW1029" s="38"/>
      <c r="AX1029" s="38"/>
      <c r="AY1029" s="38"/>
      <c r="AZ1029" s="38"/>
      <c r="BA1029" s="38"/>
      <c r="BB1029" s="38"/>
      <c r="BC1029" s="38"/>
      <c r="BD1029" s="38"/>
      <c r="BE1029" s="38"/>
      <c r="BF1029" s="38"/>
      <c r="BG1029" s="38"/>
      <c r="BH1029" s="38"/>
      <c r="BI1029" s="38"/>
      <c r="BJ1029" s="38"/>
      <c r="BK1029" s="38"/>
      <c r="BL1029" s="38"/>
      <c r="BM1029" s="38"/>
      <c r="BN1029" s="38"/>
      <c r="BO1029" s="38"/>
      <c r="BP1029" s="38"/>
      <c r="BQ1029" s="38"/>
      <c r="BR1029" s="38"/>
      <c r="BS1029" s="38"/>
      <c r="BT1029" s="38"/>
      <c r="BU1029" s="38"/>
      <c r="BV1029" s="38"/>
    </row>
    <row r="1030" ht="14.25" customHeight="1">
      <c r="A1030" s="74"/>
      <c r="B1030" s="38"/>
      <c r="C1030" s="38"/>
      <c r="D1030" s="38"/>
      <c r="E1030" s="74"/>
      <c r="F1030" s="74"/>
      <c r="G1030" s="74"/>
      <c r="H1030" s="74"/>
      <c r="I1030" s="74"/>
      <c r="J1030" s="74"/>
      <c r="K1030" s="74"/>
      <c r="L1030" s="74"/>
      <c r="M1030" s="74"/>
      <c r="N1030" s="74"/>
      <c r="O1030" s="74"/>
      <c r="P1030" s="74"/>
      <c r="Q1030" s="74"/>
      <c r="R1030" s="74"/>
      <c r="S1030" s="74"/>
      <c r="T1030" s="74"/>
      <c r="U1030" s="74"/>
      <c r="V1030" s="74"/>
      <c r="W1030" s="74"/>
      <c r="X1030" s="74"/>
      <c r="Y1030" s="74"/>
      <c r="Z1030" s="74"/>
      <c r="AA1030" s="74"/>
      <c r="AB1030" s="74"/>
      <c r="AC1030" s="74"/>
      <c r="AD1030" s="74"/>
      <c r="AE1030" s="74"/>
      <c r="AF1030" s="74"/>
      <c r="AG1030" s="74"/>
      <c r="AH1030" s="74"/>
      <c r="AI1030" s="74"/>
      <c r="AJ1030" s="74"/>
      <c r="AK1030" s="74"/>
      <c r="AL1030" s="38"/>
      <c r="AM1030" s="38"/>
      <c r="AN1030" s="75"/>
      <c r="AO1030" s="75"/>
      <c r="AP1030" s="38"/>
      <c r="AQ1030" s="38"/>
      <c r="AR1030" s="38"/>
      <c r="AS1030" s="38"/>
      <c r="AT1030" s="38"/>
      <c r="AU1030" s="38"/>
      <c r="AV1030" s="38"/>
      <c r="AW1030" s="38"/>
      <c r="AX1030" s="38"/>
      <c r="AY1030" s="38"/>
      <c r="AZ1030" s="38"/>
      <c r="BA1030" s="38"/>
      <c r="BB1030" s="38"/>
      <c r="BC1030" s="38"/>
      <c r="BD1030" s="38"/>
      <c r="BE1030" s="38"/>
      <c r="BF1030" s="38"/>
      <c r="BG1030" s="38"/>
      <c r="BH1030" s="38"/>
      <c r="BI1030" s="38"/>
      <c r="BJ1030" s="38"/>
      <c r="BK1030" s="38"/>
      <c r="BL1030" s="38"/>
      <c r="BM1030" s="38"/>
      <c r="BN1030" s="38"/>
      <c r="BO1030" s="38"/>
      <c r="BP1030" s="38"/>
      <c r="BQ1030" s="38"/>
      <c r="BR1030" s="38"/>
      <c r="BS1030" s="38"/>
      <c r="BT1030" s="38"/>
      <c r="BU1030" s="38"/>
      <c r="BV1030" s="38"/>
    </row>
    <row r="1031" ht="14.25" customHeight="1">
      <c r="A1031" s="74"/>
      <c r="B1031" s="38"/>
      <c r="C1031" s="38"/>
      <c r="D1031" s="38"/>
      <c r="E1031" s="74"/>
      <c r="F1031" s="74"/>
      <c r="G1031" s="74"/>
      <c r="H1031" s="74"/>
      <c r="I1031" s="74"/>
      <c r="J1031" s="74"/>
      <c r="K1031" s="74"/>
      <c r="L1031" s="74"/>
      <c r="M1031" s="74"/>
      <c r="N1031" s="74"/>
      <c r="O1031" s="74"/>
      <c r="P1031" s="74"/>
      <c r="Q1031" s="74"/>
      <c r="R1031" s="74"/>
      <c r="S1031" s="74"/>
      <c r="T1031" s="74"/>
      <c r="U1031" s="74"/>
      <c r="V1031" s="74"/>
      <c r="W1031" s="74"/>
      <c r="X1031" s="74"/>
      <c r="Y1031" s="74"/>
      <c r="Z1031" s="74"/>
      <c r="AA1031" s="74"/>
      <c r="AB1031" s="74"/>
      <c r="AC1031" s="74"/>
      <c r="AD1031" s="74"/>
      <c r="AE1031" s="74"/>
      <c r="AF1031" s="74"/>
      <c r="AG1031" s="74"/>
      <c r="AH1031" s="74"/>
      <c r="AI1031" s="74"/>
      <c r="AJ1031" s="74"/>
      <c r="AK1031" s="74"/>
      <c r="AL1031" s="38"/>
      <c r="AM1031" s="38"/>
      <c r="AN1031" s="75"/>
      <c r="AO1031" s="75"/>
      <c r="AP1031" s="38"/>
      <c r="AQ1031" s="38"/>
      <c r="AR1031" s="38"/>
      <c r="AS1031" s="38"/>
      <c r="AT1031" s="38"/>
      <c r="AU1031" s="38"/>
      <c r="AV1031" s="38"/>
      <c r="AW1031" s="38"/>
      <c r="AX1031" s="38"/>
      <c r="AY1031" s="38"/>
      <c r="AZ1031" s="38"/>
      <c r="BA1031" s="38"/>
      <c r="BB1031" s="38"/>
      <c r="BC1031" s="38"/>
      <c r="BD1031" s="38"/>
      <c r="BE1031" s="38"/>
      <c r="BF1031" s="38"/>
      <c r="BG1031" s="38"/>
      <c r="BH1031" s="38"/>
      <c r="BI1031" s="38"/>
      <c r="BJ1031" s="38"/>
      <c r="BK1031" s="38"/>
      <c r="BL1031" s="38"/>
      <c r="BM1031" s="38"/>
      <c r="BN1031" s="38"/>
      <c r="BO1031" s="38"/>
      <c r="BP1031" s="38"/>
      <c r="BQ1031" s="38"/>
      <c r="BR1031" s="38"/>
      <c r="BS1031" s="38"/>
      <c r="BT1031" s="38"/>
      <c r="BU1031" s="38"/>
      <c r="BV1031" s="38"/>
    </row>
    <row r="1032" ht="14.25" customHeight="1">
      <c r="A1032" s="74"/>
      <c r="B1032" s="38"/>
      <c r="C1032" s="38"/>
      <c r="D1032" s="38"/>
      <c r="E1032" s="74"/>
      <c r="F1032" s="74"/>
      <c r="G1032" s="74"/>
      <c r="H1032" s="74"/>
      <c r="I1032" s="74"/>
      <c r="J1032" s="74"/>
      <c r="K1032" s="74"/>
      <c r="L1032" s="74"/>
      <c r="M1032" s="74"/>
      <c r="N1032" s="74"/>
      <c r="O1032" s="74"/>
      <c r="P1032" s="74"/>
      <c r="Q1032" s="74"/>
      <c r="R1032" s="74"/>
      <c r="S1032" s="74"/>
      <c r="T1032" s="74"/>
      <c r="U1032" s="74"/>
      <c r="V1032" s="74"/>
      <c r="W1032" s="74"/>
      <c r="X1032" s="74"/>
      <c r="Y1032" s="74"/>
      <c r="Z1032" s="74"/>
      <c r="AA1032" s="74"/>
      <c r="AB1032" s="74"/>
      <c r="AC1032" s="74"/>
      <c r="AD1032" s="74"/>
      <c r="AE1032" s="74"/>
      <c r="AF1032" s="74"/>
      <c r="AG1032" s="74"/>
      <c r="AH1032" s="74"/>
      <c r="AI1032" s="74"/>
      <c r="AJ1032" s="74"/>
      <c r="AK1032" s="74"/>
      <c r="AL1032" s="38"/>
      <c r="AM1032" s="38"/>
      <c r="AN1032" s="75"/>
      <c r="AO1032" s="75"/>
      <c r="AP1032" s="38"/>
      <c r="AQ1032" s="38"/>
      <c r="AR1032" s="38"/>
      <c r="AS1032" s="38"/>
      <c r="AT1032" s="38"/>
      <c r="AU1032" s="38"/>
      <c r="AV1032" s="38"/>
      <c r="AW1032" s="38"/>
      <c r="AX1032" s="38"/>
      <c r="AY1032" s="38"/>
      <c r="AZ1032" s="38"/>
      <c r="BA1032" s="38"/>
      <c r="BB1032" s="38"/>
      <c r="BC1032" s="38"/>
      <c r="BD1032" s="38"/>
      <c r="BE1032" s="38"/>
      <c r="BF1032" s="38"/>
      <c r="BG1032" s="38"/>
      <c r="BH1032" s="38"/>
      <c r="BI1032" s="38"/>
      <c r="BJ1032" s="38"/>
      <c r="BK1032" s="38"/>
      <c r="BL1032" s="38"/>
      <c r="BM1032" s="38"/>
      <c r="BN1032" s="38"/>
      <c r="BO1032" s="38"/>
      <c r="BP1032" s="38"/>
      <c r="BQ1032" s="38"/>
      <c r="BR1032" s="38"/>
      <c r="BS1032" s="38"/>
      <c r="BT1032" s="38"/>
      <c r="BU1032" s="38"/>
      <c r="BV1032" s="38"/>
    </row>
    <row r="1033" ht="14.25" customHeight="1">
      <c r="A1033" s="74"/>
      <c r="B1033" s="38"/>
      <c r="C1033" s="38"/>
      <c r="D1033" s="38"/>
      <c r="E1033" s="74"/>
      <c r="F1033" s="74"/>
      <c r="G1033" s="74"/>
      <c r="H1033" s="74"/>
      <c r="I1033" s="74"/>
      <c r="J1033" s="74"/>
      <c r="K1033" s="74"/>
      <c r="L1033" s="74"/>
      <c r="M1033" s="74"/>
      <c r="N1033" s="74"/>
      <c r="O1033" s="74"/>
      <c r="P1033" s="74"/>
      <c r="Q1033" s="74"/>
      <c r="R1033" s="74"/>
      <c r="S1033" s="74"/>
      <c r="T1033" s="74"/>
      <c r="U1033" s="74"/>
      <c r="V1033" s="74"/>
      <c r="W1033" s="74"/>
      <c r="X1033" s="74"/>
      <c r="Y1033" s="74"/>
      <c r="Z1033" s="74"/>
      <c r="AA1033" s="74"/>
      <c r="AB1033" s="74"/>
      <c r="AC1033" s="74"/>
      <c r="AD1033" s="74"/>
      <c r="AE1033" s="74"/>
      <c r="AF1033" s="74"/>
      <c r="AG1033" s="74"/>
      <c r="AH1033" s="74"/>
      <c r="AI1033" s="74"/>
      <c r="AJ1033" s="74"/>
      <c r="AK1033" s="74"/>
      <c r="AL1033" s="38"/>
      <c r="AM1033" s="38"/>
      <c r="AN1033" s="75"/>
      <c r="AO1033" s="75"/>
      <c r="AP1033" s="38"/>
      <c r="AQ1033" s="38"/>
      <c r="AR1033" s="38"/>
      <c r="AS1033" s="38"/>
      <c r="AT1033" s="38"/>
      <c r="AU1033" s="38"/>
      <c r="AV1033" s="38"/>
      <c r="AW1033" s="38"/>
      <c r="AX1033" s="38"/>
      <c r="AY1033" s="38"/>
      <c r="AZ1033" s="38"/>
      <c r="BA1033" s="38"/>
      <c r="BB1033" s="38"/>
      <c r="BC1033" s="38"/>
      <c r="BD1033" s="38"/>
      <c r="BE1033" s="38"/>
      <c r="BF1033" s="38"/>
      <c r="BG1033" s="38"/>
      <c r="BH1033" s="38"/>
      <c r="BI1033" s="38"/>
      <c r="BJ1033" s="38"/>
      <c r="BK1033" s="38"/>
      <c r="BL1033" s="38"/>
      <c r="BM1033" s="38"/>
      <c r="BN1033" s="38"/>
      <c r="BO1033" s="38"/>
      <c r="BP1033" s="38"/>
      <c r="BQ1033" s="38"/>
      <c r="BR1033" s="38"/>
      <c r="BS1033" s="38"/>
      <c r="BT1033" s="38"/>
      <c r="BU1033" s="38"/>
      <c r="BV1033" s="38"/>
    </row>
    <row r="1034" ht="14.25" customHeight="1">
      <c r="A1034" s="74"/>
      <c r="B1034" s="38"/>
      <c r="C1034" s="38"/>
      <c r="D1034" s="38"/>
      <c r="E1034" s="74"/>
      <c r="F1034" s="74"/>
      <c r="G1034" s="74"/>
      <c r="H1034" s="74"/>
      <c r="I1034" s="74"/>
      <c r="J1034" s="74"/>
      <c r="K1034" s="74"/>
      <c r="L1034" s="74"/>
      <c r="M1034" s="74"/>
      <c r="N1034" s="74"/>
      <c r="O1034" s="74"/>
      <c r="P1034" s="74"/>
      <c r="Q1034" s="74"/>
      <c r="R1034" s="74"/>
      <c r="S1034" s="74"/>
      <c r="T1034" s="74"/>
      <c r="U1034" s="74"/>
      <c r="V1034" s="74"/>
      <c r="W1034" s="74"/>
      <c r="X1034" s="74"/>
      <c r="Y1034" s="74"/>
      <c r="Z1034" s="74"/>
      <c r="AA1034" s="74"/>
      <c r="AB1034" s="74"/>
      <c r="AC1034" s="74"/>
      <c r="AD1034" s="74"/>
      <c r="AE1034" s="74"/>
      <c r="AF1034" s="74"/>
      <c r="AG1034" s="74"/>
      <c r="AH1034" s="74"/>
      <c r="AI1034" s="74"/>
      <c r="AJ1034" s="74"/>
      <c r="AK1034" s="74"/>
      <c r="AL1034" s="38"/>
      <c r="AM1034" s="38"/>
      <c r="AN1034" s="75"/>
      <c r="AO1034" s="75"/>
      <c r="AP1034" s="38"/>
      <c r="AQ1034" s="38"/>
      <c r="AR1034" s="38"/>
      <c r="AS1034" s="38"/>
      <c r="AT1034" s="38"/>
      <c r="AU1034" s="38"/>
      <c r="AV1034" s="38"/>
      <c r="AW1034" s="38"/>
      <c r="AX1034" s="38"/>
      <c r="AY1034" s="38"/>
      <c r="AZ1034" s="38"/>
      <c r="BA1034" s="38"/>
      <c r="BB1034" s="38"/>
      <c r="BC1034" s="38"/>
      <c r="BD1034" s="38"/>
      <c r="BE1034" s="38"/>
      <c r="BF1034" s="38"/>
      <c r="BG1034" s="38"/>
      <c r="BH1034" s="38"/>
      <c r="BI1034" s="38"/>
      <c r="BJ1034" s="38"/>
      <c r="BK1034" s="38"/>
      <c r="BL1034" s="38"/>
      <c r="BM1034" s="38"/>
      <c r="BN1034" s="38"/>
      <c r="BO1034" s="38"/>
      <c r="BP1034" s="38"/>
      <c r="BQ1034" s="38"/>
      <c r="BR1034" s="38"/>
      <c r="BS1034" s="38"/>
      <c r="BT1034" s="38"/>
      <c r="BU1034" s="38"/>
      <c r="BV1034" s="38"/>
    </row>
    <row r="1035" ht="14.25" customHeight="1">
      <c r="A1035" s="74"/>
      <c r="B1035" s="38"/>
      <c r="C1035" s="38"/>
      <c r="D1035" s="38"/>
      <c r="E1035" s="74"/>
      <c r="F1035" s="74"/>
      <c r="G1035" s="74"/>
      <c r="H1035" s="74"/>
      <c r="I1035" s="74"/>
      <c r="J1035" s="74"/>
      <c r="K1035" s="74"/>
      <c r="L1035" s="74"/>
      <c r="M1035" s="74"/>
      <c r="N1035" s="74"/>
      <c r="O1035" s="74"/>
      <c r="P1035" s="74"/>
      <c r="Q1035" s="74"/>
      <c r="R1035" s="74"/>
      <c r="S1035" s="74"/>
      <c r="T1035" s="74"/>
      <c r="U1035" s="74"/>
      <c r="V1035" s="74"/>
      <c r="W1035" s="74"/>
      <c r="X1035" s="74"/>
      <c r="Y1035" s="74"/>
      <c r="Z1035" s="74"/>
      <c r="AA1035" s="74"/>
      <c r="AB1035" s="74"/>
      <c r="AC1035" s="74"/>
      <c r="AD1035" s="74"/>
      <c r="AE1035" s="74"/>
      <c r="AF1035" s="74"/>
      <c r="AG1035" s="74"/>
      <c r="AH1035" s="74"/>
      <c r="AI1035" s="74"/>
      <c r="AJ1035" s="74"/>
      <c r="AK1035" s="74"/>
      <c r="AL1035" s="38"/>
      <c r="AM1035" s="38"/>
      <c r="AN1035" s="75"/>
      <c r="AO1035" s="75"/>
      <c r="AP1035" s="38"/>
      <c r="AQ1035" s="38"/>
      <c r="AR1035" s="38"/>
      <c r="AS1035" s="38"/>
      <c r="AT1035" s="38"/>
      <c r="AU1035" s="38"/>
      <c r="AV1035" s="38"/>
      <c r="AW1035" s="38"/>
      <c r="AX1035" s="38"/>
      <c r="AY1035" s="38"/>
      <c r="AZ1035" s="38"/>
      <c r="BA1035" s="38"/>
      <c r="BB1035" s="38"/>
      <c r="BC1035" s="38"/>
      <c r="BD1035" s="38"/>
      <c r="BE1035" s="38"/>
      <c r="BF1035" s="38"/>
      <c r="BG1035" s="38"/>
      <c r="BH1035" s="38"/>
      <c r="BI1035" s="38"/>
      <c r="BJ1035" s="38"/>
      <c r="BK1035" s="38"/>
      <c r="BL1035" s="38"/>
      <c r="BM1035" s="38"/>
      <c r="BN1035" s="38"/>
      <c r="BO1035" s="38"/>
      <c r="BP1035" s="38"/>
      <c r="BQ1035" s="38"/>
      <c r="BR1035" s="38"/>
      <c r="BS1035" s="38"/>
      <c r="BT1035" s="38"/>
      <c r="BU1035" s="38"/>
      <c r="BV1035" s="38"/>
    </row>
    <row r="1036" ht="14.25" customHeight="1">
      <c r="A1036" s="74"/>
      <c r="B1036" s="38"/>
      <c r="C1036" s="38"/>
      <c r="D1036" s="38"/>
      <c r="E1036" s="74"/>
      <c r="F1036" s="74"/>
      <c r="G1036" s="74"/>
      <c r="H1036" s="74"/>
      <c r="I1036" s="74"/>
      <c r="J1036" s="74"/>
      <c r="K1036" s="74"/>
      <c r="L1036" s="74"/>
      <c r="M1036" s="74"/>
      <c r="N1036" s="74"/>
      <c r="O1036" s="74"/>
      <c r="P1036" s="74"/>
      <c r="Q1036" s="74"/>
      <c r="R1036" s="74"/>
      <c r="S1036" s="74"/>
      <c r="T1036" s="74"/>
      <c r="U1036" s="74"/>
      <c r="V1036" s="74"/>
      <c r="W1036" s="74"/>
      <c r="X1036" s="74"/>
      <c r="Y1036" s="74"/>
      <c r="Z1036" s="74"/>
      <c r="AA1036" s="74"/>
      <c r="AB1036" s="74"/>
      <c r="AC1036" s="74"/>
      <c r="AD1036" s="74"/>
      <c r="AE1036" s="74"/>
      <c r="AF1036" s="74"/>
      <c r="AG1036" s="74"/>
      <c r="AH1036" s="74"/>
      <c r="AI1036" s="74"/>
      <c r="AJ1036" s="74"/>
      <c r="AK1036" s="74"/>
      <c r="AL1036" s="38"/>
      <c r="AM1036" s="38"/>
      <c r="AN1036" s="75"/>
      <c r="AO1036" s="75"/>
      <c r="AP1036" s="38"/>
      <c r="AQ1036" s="38"/>
      <c r="AR1036" s="38"/>
      <c r="AS1036" s="38"/>
      <c r="AT1036" s="38"/>
      <c r="AU1036" s="38"/>
      <c r="AV1036" s="38"/>
      <c r="AW1036" s="38"/>
      <c r="AX1036" s="38"/>
      <c r="AY1036" s="38"/>
      <c r="AZ1036" s="38"/>
      <c r="BA1036" s="38"/>
      <c r="BB1036" s="38"/>
      <c r="BC1036" s="38"/>
      <c r="BD1036" s="38"/>
      <c r="BE1036" s="38"/>
      <c r="BF1036" s="38"/>
      <c r="BG1036" s="38"/>
      <c r="BH1036" s="38"/>
      <c r="BI1036" s="38"/>
      <c r="BJ1036" s="38"/>
      <c r="BK1036" s="38"/>
      <c r="BL1036" s="38"/>
      <c r="BM1036" s="38"/>
      <c r="BN1036" s="38"/>
      <c r="BO1036" s="38"/>
      <c r="BP1036" s="38"/>
      <c r="BQ1036" s="38"/>
      <c r="BR1036" s="38"/>
      <c r="BS1036" s="38"/>
      <c r="BT1036" s="38"/>
      <c r="BU1036" s="38"/>
      <c r="BV1036" s="38"/>
    </row>
    <row r="1037" ht="14.25" customHeight="1">
      <c r="A1037" s="74"/>
      <c r="B1037" s="38"/>
      <c r="C1037" s="38"/>
      <c r="D1037" s="38"/>
      <c r="E1037" s="74"/>
      <c r="F1037" s="74"/>
      <c r="G1037" s="74"/>
      <c r="H1037" s="74"/>
      <c r="I1037" s="74"/>
      <c r="J1037" s="74"/>
      <c r="K1037" s="74"/>
      <c r="L1037" s="74"/>
      <c r="M1037" s="74"/>
      <c r="N1037" s="74"/>
      <c r="O1037" s="74"/>
      <c r="P1037" s="74"/>
      <c r="Q1037" s="74"/>
      <c r="R1037" s="74"/>
      <c r="S1037" s="74"/>
      <c r="T1037" s="74"/>
      <c r="U1037" s="74"/>
      <c r="V1037" s="74"/>
      <c r="W1037" s="74"/>
      <c r="X1037" s="74"/>
      <c r="Y1037" s="74"/>
      <c r="Z1037" s="74"/>
      <c r="AA1037" s="74"/>
      <c r="AB1037" s="74"/>
      <c r="AC1037" s="74"/>
      <c r="AD1037" s="74"/>
      <c r="AE1037" s="74"/>
      <c r="AF1037" s="74"/>
      <c r="AG1037" s="74"/>
      <c r="AH1037" s="74"/>
      <c r="AI1037" s="74"/>
      <c r="AJ1037" s="74"/>
      <c r="AK1037" s="74"/>
      <c r="AL1037" s="38"/>
      <c r="AM1037" s="38"/>
      <c r="AN1037" s="75"/>
      <c r="AO1037" s="75"/>
      <c r="AP1037" s="38"/>
      <c r="AQ1037" s="38"/>
      <c r="AR1037" s="38"/>
      <c r="AS1037" s="38"/>
      <c r="AT1037" s="38"/>
      <c r="AU1037" s="38"/>
      <c r="AV1037" s="38"/>
      <c r="AW1037" s="38"/>
      <c r="AX1037" s="38"/>
      <c r="AY1037" s="38"/>
      <c r="AZ1037" s="38"/>
      <c r="BA1037" s="38"/>
      <c r="BB1037" s="38"/>
      <c r="BC1037" s="38"/>
      <c r="BD1037" s="38"/>
      <c r="BE1037" s="38"/>
      <c r="BF1037" s="38"/>
      <c r="BG1037" s="38"/>
      <c r="BH1037" s="38"/>
      <c r="BI1037" s="38"/>
      <c r="BJ1037" s="38"/>
      <c r="BK1037" s="38"/>
      <c r="BL1037" s="38"/>
      <c r="BM1037" s="38"/>
      <c r="BN1037" s="38"/>
      <c r="BO1037" s="38"/>
      <c r="BP1037" s="38"/>
      <c r="BQ1037" s="38"/>
      <c r="BR1037" s="38"/>
      <c r="BS1037" s="38"/>
      <c r="BT1037" s="38"/>
      <c r="BU1037" s="38"/>
      <c r="BV1037" s="38"/>
    </row>
    <row r="1038" ht="14.25" customHeight="1">
      <c r="A1038" s="74"/>
      <c r="B1038" s="38"/>
      <c r="C1038" s="38"/>
      <c r="D1038" s="38"/>
      <c r="E1038" s="74"/>
      <c r="F1038" s="74"/>
      <c r="G1038" s="74"/>
      <c r="H1038" s="74"/>
      <c r="I1038" s="74"/>
      <c r="J1038" s="74"/>
      <c r="K1038" s="74"/>
      <c r="L1038" s="74"/>
      <c r="M1038" s="74"/>
      <c r="N1038" s="74"/>
      <c r="O1038" s="74"/>
      <c r="P1038" s="74"/>
      <c r="Q1038" s="74"/>
      <c r="R1038" s="74"/>
      <c r="S1038" s="74"/>
      <c r="T1038" s="74"/>
      <c r="U1038" s="74"/>
      <c r="V1038" s="74"/>
      <c r="W1038" s="74"/>
      <c r="X1038" s="74"/>
      <c r="Y1038" s="74"/>
      <c r="Z1038" s="74"/>
      <c r="AA1038" s="74"/>
      <c r="AB1038" s="74"/>
      <c r="AC1038" s="74"/>
      <c r="AD1038" s="74"/>
      <c r="AE1038" s="74"/>
      <c r="AF1038" s="74"/>
      <c r="AG1038" s="74"/>
      <c r="AH1038" s="74"/>
      <c r="AI1038" s="74"/>
      <c r="AJ1038" s="74"/>
      <c r="AK1038" s="74"/>
      <c r="AL1038" s="38"/>
      <c r="AM1038" s="38"/>
      <c r="AN1038" s="75"/>
      <c r="AO1038" s="75"/>
      <c r="AP1038" s="38"/>
      <c r="AQ1038" s="38"/>
      <c r="AR1038" s="38"/>
      <c r="AS1038" s="38"/>
      <c r="AT1038" s="38"/>
      <c r="AU1038" s="38"/>
      <c r="AV1038" s="38"/>
      <c r="AW1038" s="38"/>
      <c r="AX1038" s="38"/>
      <c r="AY1038" s="38"/>
      <c r="AZ1038" s="38"/>
      <c r="BA1038" s="38"/>
      <c r="BB1038" s="38"/>
      <c r="BC1038" s="38"/>
      <c r="BD1038" s="38"/>
      <c r="BE1038" s="38"/>
      <c r="BF1038" s="38"/>
      <c r="BG1038" s="38"/>
      <c r="BH1038" s="38"/>
      <c r="BI1038" s="38"/>
      <c r="BJ1038" s="38"/>
      <c r="BK1038" s="38"/>
      <c r="BL1038" s="38"/>
      <c r="BM1038" s="38"/>
      <c r="BN1038" s="38"/>
      <c r="BO1038" s="38"/>
      <c r="BP1038" s="38"/>
      <c r="BQ1038" s="38"/>
      <c r="BR1038" s="38"/>
      <c r="BS1038" s="38"/>
      <c r="BT1038" s="38"/>
      <c r="BU1038" s="38"/>
      <c r="BV1038" s="38"/>
    </row>
    <row r="1039" ht="14.25" customHeight="1">
      <c r="A1039" s="74"/>
      <c r="B1039" s="38"/>
      <c r="C1039" s="38"/>
      <c r="D1039" s="38"/>
      <c r="E1039" s="74"/>
      <c r="F1039" s="74"/>
      <c r="G1039" s="74"/>
      <c r="H1039" s="74"/>
      <c r="I1039" s="74"/>
      <c r="J1039" s="74"/>
      <c r="K1039" s="74"/>
      <c r="L1039" s="74"/>
      <c r="M1039" s="74"/>
      <c r="N1039" s="74"/>
      <c r="O1039" s="74"/>
      <c r="P1039" s="74"/>
      <c r="Q1039" s="74"/>
      <c r="R1039" s="74"/>
      <c r="S1039" s="74"/>
      <c r="T1039" s="74"/>
      <c r="U1039" s="74"/>
      <c r="V1039" s="74"/>
      <c r="W1039" s="74"/>
      <c r="X1039" s="74"/>
      <c r="Y1039" s="74"/>
      <c r="Z1039" s="74"/>
      <c r="AA1039" s="74"/>
      <c r="AB1039" s="74"/>
      <c r="AC1039" s="74"/>
      <c r="AD1039" s="74"/>
      <c r="AE1039" s="74"/>
      <c r="AF1039" s="74"/>
      <c r="AG1039" s="74"/>
      <c r="AH1039" s="74"/>
      <c r="AI1039" s="74"/>
      <c r="AJ1039" s="74"/>
      <c r="AK1039" s="74"/>
      <c r="AL1039" s="38"/>
      <c r="AM1039" s="38"/>
      <c r="AN1039" s="75"/>
      <c r="AO1039" s="75"/>
      <c r="AP1039" s="38"/>
      <c r="AQ1039" s="38"/>
      <c r="AR1039" s="38"/>
      <c r="AS1039" s="38"/>
      <c r="AT1039" s="38"/>
      <c r="AU1039" s="38"/>
      <c r="AV1039" s="38"/>
      <c r="AW1039" s="38"/>
      <c r="AX1039" s="38"/>
      <c r="AY1039" s="38"/>
      <c r="AZ1039" s="38"/>
      <c r="BA1039" s="38"/>
      <c r="BB1039" s="38"/>
      <c r="BC1039" s="38"/>
      <c r="BD1039" s="38"/>
      <c r="BE1039" s="38"/>
      <c r="BF1039" s="38"/>
      <c r="BG1039" s="38"/>
      <c r="BH1039" s="38"/>
      <c r="BI1039" s="38"/>
      <c r="BJ1039" s="38"/>
      <c r="BK1039" s="38"/>
      <c r="BL1039" s="38"/>
      <c r="BM1039" s="38"/>
      <c r="BN1039" s="38"/>
      <c r="BO1039" s="38"/>
      <c r="BP1039" s="38"/>
      <c r="BQ1039" s="38"/>
      <c r="BR1039" s="38"/>
      <c r="BS1039" s="38"/>
      <c r="BT1039" s="38"/>
      <c r="BU1039" s="38"/>
      <c r="BV1039" s="38"/>
    </row>
    <row r="1040" ht="14.25" customHeight="1">
      <c r="A1040" s="74"/>
      <c r="B1040" s="38"/>
      <c r="C1040" s="38"/>
      <c r="D1040" s="38"/>
      <c r="E1040" s="74"/>
      <c r="F1040" s="74"/>
      <c r="G1040" s="74"/>
      <c r="H1040" s="74"/>
      <c r="I1040" s="74"/>
      <c r="J1040" s="74"/>
      <c r="K1040" s="74"/>
      <c r="L1040" s="74"/>
      <c r="M1040" s="74"/>
      <c r="N1040" s="74"/>
      <c r="O1040" s="74"/>
      <c r="P1040" s="74"/>
      <c r="Q1040" s="74"/>
      <c r="R1040" s="74"/>
      <c r="S1040" s="74"/>
      <c r="T1040" s="74"/>
      <c r="U1040" s="74"/>
      <c r="V1040" s="74"/>
      <c r="W1040" s="74"/>
      <c r="X1040" s="74"/>
      <c r="Y1040" s="74"/>
      <c r="Z1040" s="74"/>
      <c r="AA1040" s="74"/>
      <c r="AB1040" s="74"/>
      <c r="AC1040" s="74"/>
      <c r="AD1040" s="74"/>
      <c r="AE1040" s="74"/>
      <c r="AF1040" s="74"/>
      <c r="AG1040" s="74"/>
      <c r="AH1040" s="74"/>
      <c r="AI1040" s="74"/>
      <c r="AJ1040" s="74"/>
      <c r="AK1040" s="74"/>
      <c r="AL1040" s="38"/>
      <c r="AM1040" s="38"/>
      <c r="AN1040" s="75"/>
      <c r="AO1040" s="75"/>
      <c r="AP1040" s="38"/>
      <c r="AQ1040" s="38"/>
      <c r="AR1040" s="38"/>
      <c r="AS1040" s="38"/>
      <c r="AT1040" s="38"/>
      <c r="AU1040" s="38"/>
      <c r="AV1040" s="38"/>
      <c r="AW1040" s="38"/>
      <c r="AX1040" s="38"/>
      <c r="AY1040" s="38"/>
      <c r="AZ1040" s="38"/>
      <c r="BA1040" s="38"/>
      <c r="BB1040" s="38"/>
      <c r="BC1040" s="38"/>
      <c r="BD1040" s="38"/>
      <c r="BE1040" s="38"/>
      <c r="BF1040" s="38"/>
      <c r="BG1040" s="38"/>
      <c r="BH1040" s="38"/>
      <c r="BI1040" s="38"/>
      <c r="BJ1040" s="38"/>
      <c r="BK1040" s="38"/>
      <c r="BL1040" s="38"/>
      <c r="BM1040" s="38"/>
      <c r="BN1040" s="38"/>
      <c r="BO1040" s="38"/>
      <c r="BP1040" s="38"/>
      <c r="BQ1040" s="38"/>
      <c r="BR1040" s="38"/>
      <c r="BS1040" s="38"/>
      <c r="BT1040" s="38"/>
      <c r="BU1040" s="38"/>
      <c r="BV1040" s="38"/>
    </row>
    <row r="1041" ht="14.25" customHeight="1">
      <c r="A1041" s="74"/>
      <c r="B1041" s="38"/>
      <c r="C1041" s="38"/>
      <c r="D1041" s="38"/>
      <c r="E1041" s="74"/>
      <c r="F1041" s="74"/>
      <c r="G1041" s="74"/>
      <c r="H1041" s="74"/>
      <c r="I1041" s="74"/>
      <c r="J1041" s="74"/>
      <c r="K1041" s="74"/>
      <c r="L1041" s="74"/>
      <c r="M1041" s="74"/>
      <c r="N1041" s="74"/>
      <c r="O1041" s="74"/>
      <c r="P1041" s="74"/>
      <c r="Q1041" s="74"/>
      <c r="R1041" s="74"/>
      <c r="S1041" s="74"/>
      <c r="T1041" s="74"/>
      <c r="U1041" s="74"/>
      <c r="V1041" s="74"/>
      <c r="W1041" s="74"/>
      <c r="X1041" s="74"/>
      <c r="Y1041" s="74"/>
      <c r="Z1041" s="74"/>
      <c r="AA1041" s="74"/>
      <c r="AB1041" s="74"/>
      <c r="AC1041" s="74"/>
      <c r="AD1041" s="74"/>
      <c r="AE1041" s="74"/>
      <c r="AF1041" s="74"/>
      <c r="AG1041" s="74"/>
      <c r="AH1041" s="74"/>
      <c r="AI1041" s="74"/>
      <c r="AJ1041" s="74"/>
      <c r="AK1041" s="74"/>
      <c r="AL1041" s="38"/>
      <c r="AM1041" s="38"/>
      <c r="AN1041" s="75"/>
      <c r="AO1041" s="75"/>
      <c r="AP1041" s="38"/>
      <c r="AQ1041" s="38"/>
      <c r="AR1041" s="38"/>
      <c r="AS1041" s="38"/>
      <c r="AT1041" s="38"/>
      <c r="AU1041" s="38"/>
      <c r="AV1041" s="38"/>
      <c r="AW1041" s="38"/>
      <c r="AX1041" s="38"/>
      <c r="AY1041" s="38"/>
      <c r="AZ1041" s="38"/>
      <c r="BA1041" s="38"/>
      <c r="BB1041" s="38"/>
      <c r="BC1041" s="38"/>
      <c r="BD1041" s="38"/>
      <c r="BE1041" s="38"/>
      <c r="BF1041" s="38"/>
      <c r="BG1041" s="38"/>
      <c r="BH1041" s="38"/>
      <c r="BI1041" s="38"/>
      <c r="BJ1041" s="38"/>
      <c r="BK1041" s="38"/>
      <c r="BL1041" s="38"/>
      <c r="BM1041" s="38"/>
      <c r="BN1041" s="38"/>
      <c r="BO1041" s="38"/>
      <c r="BP1041" s="38"/>
      <c r="BQ1041" s="38"/>
      <c r="BR1041" s="38"/>
      <c r="BS1041" s="38"/>
      <c r="BT1041" s="38"/>
      <c r="BU1041" s="38"/>
      <c r="BV1041" s="38"/>
    </row>
    <row r="1042" ht="14.25" customHeight="1">
      <c r="A1042" s="74"/>
      <c r="B1042" s="38"/>
      <c r="C1042" s="38"/>
      <c r="D1042" s="38"/>
      <c r="E1042" s="74"/>
      <c r="F1042" s="74"/>
      <c r="G1042" s="74"/>
      <c r="H1042" s="74"/>
      <c r="I1042" s="74"/>
      <c r="J1042" s="74"/>
      <c r="K1042" s="74"/>
      <c r="L1042" s="74"/>
      <c r="M1042" s="74"/>
      <c r="N1042" s="74"/>
      <c r="O1042" s="74"/>
      <c r="P1042" s="74"/>
      <c r="Q1042" s="74"/>
      <c r="R1042" s="74"/>
      <c r="S1042" s="74"/>
      <c r="T1042" s="74"/>
      <c r="U1042" s="74"/>
      <c r="V1042" s="74"/>
      <c r="W1042" s="74"/>
      <c r="X1042" s="74"/>
      <c r="Y1042" s="74"/>
      <c r="Z1042" s="74"/>
      <c r="AA1042" s="74"/>
      <c r="AB1042" s="74"/>
      <c r="AC1042" s="74"/>
      <c r="AD1042" s="74"/>
      <c r="AE1042" s="74"/>
      <c r="AF1042" s="74"/>
      <c r="AG1042" s="74"/>
      <c r="AH1042" s="74"/>
      <c r="AI1042" s="74"/>
      <c r="AJ1042" s="74"/>
      <c r="AK1042" s="74"/>
      <c r="AL1042" s="38"/>
      <c r="AM1042" s="38"/>
      <c r="AN1042" s="75"/>
      <c r="AO1042" s="75"/>
      <c r="AP1042" s="38"/>
      <c r="AQ1042" s="38"/>
      <c r="AR1042" s="38"/>
      <c r="AS1042" s="38"/>
      <c r="AT1042" s="38"/>
      <c r="AU1042" s="38"/>
      <c r="AV1042" s="38"/>
      <c r="AW1042" s="38"/>
      <c r="AX1042" s="38"/>
      <c r="AY1042" s="38"/>
      <c r="AZ1042" s="38"/>
      <c r="BA1042" s="38"/>
      <c r="BB1042" s="38"/>
      <c r="BC1042" s="38"/>
      <c r="BD1042" s="38"/>
      <c r="BE1042" s="38"/>
      <c r="BF1042" s="38"/>
      <c r="BG1042" s="38"/>
      <c r="BH1042" s="38"/>
      <c r="BI1042" s="38"/>
      <c r="BJ1042" s="38"/>
      <c r="BK1042" s="38"/>
      <c r="BL1042" s="38"/>
      <c r="BM1042" s="38"/>
      <c r="BN1042" s="38"/>
      <c r="BO1042" s="38"/>
      <c r="BP1042" s="38"/>
      <c r="BQ1042" s="38"/>
      <c r="BR1042" s="38"/>
      <c r="BS1042" s="38"/>
      <c r="BT1042" s="38"/>
      <c r="BU1042" s="38"/>
      <c r="BV1042" s="38"/>
    </row>
    <row r="1043" ht="14.25" customHeight="1">
      <c r="A1043" s="74"/>
      <c r="B1043" s="38"/>
      <c r="C1043" s="38"/>
      <c r="D1043" s="38"/>
      <c r="E1043" s="74"/>
      <c r="F1043" s="74"/>
      <c r="G1043" s="74"/>
      <c r="H1043" s="74"/>
      <c r="I1043" s="74"/>
      <c r="J1043" s="74"/>
      <c r="K1043" s="74"/>
      <c r="L1043" s="74"/>
      <c r="M1043" s="74"/>
      <c r="N1043" s="74"/>
      <c r="O1043" s="74"/>
      <c r="P1043" s="74"/>
      <c r="Q1043" s="74"/>
      <c r="R1043" s="74"/>
      <c r="S1043" s="74"/>
      <c r="T1043" s="74"/>
      <c r="U1043" s="74"/>
      <c r="V1043" s="74"/>
      <c r="W1043" s="74"/>
      <c r="X1043" s="74"/>
      <c r="Y1043" s="74"/>
      <c r="Z1043" s="74"/>
      <c r="AA1043" s="74"/>
      <c r="AB1043" s="74"/>
      <c r="AC1043" s="74"/>
      <c r="AD1043" s="74"/>
      <c r="AE1043" s="74"/>
      <c r="AF1043" s="74"/>
      <c r="AG1043" s="74"/>
      <c r="AH1043" s="74"/>
      <c r="AI1043" s="74"/>
      <c r="AJ1043" s="74"/>
      <c r="AK1043" s="74"/>
      <c r="AL1043" s="38"/>
      <c r="AM1043" s="38"/>
      <c r="AN1043" s="75"/>
      <c r="AO1043" s="75"/>
      <c r="AP1043" s="38"/>
      <c r="AQ1043" s="38"/>
      <c r="AR1043" s="38"/>
      <c r="AS1043" s="38"/>
      <c r="AT1043" s="38"/>
      <c r="AU1043" s="38"/>
      <c r="AV1043" s="38"/>
      <c r="AW1043" s="38"/>
      <c r="AX1043" s="38"/>
      <c r="AY1043" s="38"/>
      <c r="AZ1043" s="38"/>
      <c r="BA1043" s="38"/>
      <c r="BB1043" s="38"/>
      <c r="BC1043" s="38"/>
      <c r="BD1043" s="38"/>
      <c r="BE1043" s="38"/>
      <c r="BF1043" s="38"/>
      <c r="BG1043" s="38"/>
      <c r="BH1043" s="38"/>
      <c r="BI1043" s="38"/>
      <c r="BJ1043" s="38"/>
      <c r="BK1043" s="38"/>
      <c r="BL1043" s="38"/>
      <c r="BM1043" s="38"/>
      <c r="BN1043" s="38"/>
      <c r="BO1043" s="38"/>
      <c r="BP1043" s="38"/>
      <c r="BQ1043" s="38"/>
      <c r="BR1043" s="38"/>
      <c r="BS1043" s="38"/>
      <c r="BT1043" s="38"/>
      <c r="BU1043" s="38"/>
      <c r="BV1043" s="38"/>
    </row>
    <row r="1044" ht="14.25" customHeight="1">
      <c r="A1044" s="74"/>
      <c r="B1044" s="38"/>
      <c r="C1044" s="38"/>
      <c r="D1044" s="38"/>
      <c r="E1044" s="74"/>
      <c r="F1044" s="74"/>
      <c r="G1044" s="74"/>
      <c r="H1044" s="74"/>
      <c r="I1044" s="74"/>
      <c r="J1044" s="74"/>
      <c r="K1044" s="74"/>
      <c r="L1044" s="74"/>
      <c r="M1044" s="74"/>
      <c r="N1044" s="74"/>
      <c r="O1044" s="74"/>
      <c r="P1044" s="74"/>
      <c r="Q1044" s="74"/>
      <c r="R1044" s="74"/>
      <c r="S1044" s="74"/>
      <c r="T1044" s="74"/>
      <c r="U1044" s="74"/>
      <c r="V1044" s="74"/>
      <c r="W1044" s="74"/>
      <c r="X1044" s="74"/>
      <c r="Y1044" s="74"/>
      <c r="Z1044" s="74"/>
      <c r="AA1044" s="74"/>
      <c r="AB1044" s="74"/>
      <c r="AC1044" s="74"/>
      <c r="AD1044" s="74"/>
      <c r="AE1044" s="74"/>
      <c r="AF1044" s="74"/>
      <c r="AG1044" s="74"/>
      <c r="AH1044" s="74"/>
      <c r="AI1044" s="74"/>
      <c r="AJ1044" s="74"/>
      <c r="AK1044" s="74"/>
      <c r="AL1044" s="38"/>
      <c r="AM1044" s="38"/>
      <c r="AN1044" s="75"/>
      <c r="AO1044" s="75"/>
      <c r="AP1044" s="38"/>
      <c r="AQ1044" s="38"/>
      <c r="AR1044" s="38"/>
      <c r="AS1044" s="38"/>
      <c r="AT1044" s="38"/>
      <c r="AU1044" s="38"/>
      <c r="AV1044" s="38"/>
      <c r="AW1044" s="38"/>
      <c r="AX1044" s="38"/>
      <c r="AY1044" s="38"/>
      <c r="AZ1044" s="38"/>
      <c r="BA1044" s="38"/>
      <c r="BB1044" s="38"/>
      <c r="BC1044" s="38"/>
      <c r="BD1044" s="38"/>
      <c r="BE1044" s="38"/>
      <c r="BF1044" s="38"/>
      <c r="BG1044" s="38"/>
      <c r="BH1044" s="38"/>
      <c r="BI1044" s="38"/>
      <c r="BJ1044" s="38"/>
      <c r="BK1044" s="38"/>
      <c r="BL1044" s="38"/>
      <c r="BM1044" s="38"/>
      <c r="BN1044" s="38"/>
      <c r="BO1044" s="38"/>
      <c r="BP1044" s="38"/>
      <c r="BQ1044" s="38"/>
      <c r="BR1044" s="38"/>
      <c r="BS1044" s="38"/>
      <c r="BT1044" s="38"/>
      <c r="BU1044" s="38"/>
      <c r="BV1044" s="38"/>
    </row>
    <row r="1045" ht="14.25" customHeight="1">
      <c r="A1045" s="74"/>
      <c r="B1045" s="38"/>
      <c r="C1045" s="38"/>
      <c r="D1045" s="38"/>
      <c r="E1045" s="74"/>
      <c r="F1045" s="74"/>
      <c r="G1045" s="74"/>
      <c r="H1045" s="74"/>
      <c r="I1045" s="74"/>
      <c r="J1045" s="74"/>
      <c r="K1045" s="74"/>
      <c r="L1045" s="74"/>
      <c r="M1045" s="74"/>
      <c r="N1045" s="74"/>
      <c r="O1045" s="74"/>
      <c r="P1045" s="74"/>
      <c r="Q1045" s="74"/>
      <c r="R1045" s="74"/>
      <c r="S1045" s="74"/>
      <c r="T1045" s="74"/>
      <c r="U1045" s="74"/>
      <c r="V1045" s="74"/>
      <c r="W1045" s="74"/>
      <c r="X1045" s="74"/>
      <c r="Y1045" s="74"/>
      <c r="Z1045" s="74"/>
      <c r="AA1045" s="74"/>
      <c r="AB1045" s="74"/>
      <c r="AC1045" s="74"/>
      <c r="AD1045" s="74"/>
      <c r="AE1045" s="74"/>
      <c r="AF1045" s="74"/>
      <c r="AG1045" s="74"/>
      <c r="AH1045" s="74"/>
      <c r="AI1045" s="74"/>
      <c r="AJ1045" s="74"/>
      <c r="AK1045" s="74"/>
      <c r="AL1045" s="38"/>
      <c r="AM1045" s="38"/>
      <c r="AN1045" s="75"/>
      <c r="AO1045" s="75"/>
      <c r="AP1045" s="38"/>
      <c r="AQ1045" s="38"/>
      <c r="AR1045" s="38"/>
      <c r="AS1045" s="38"/>
      <c r="AT1045" s="38"/>
      <c r="AU1045" s="38"/>
      <c r="AV1045" s="38"/>
      <c r="AW1045" s="38"/>
      <c r="AX1045" s="38"/>
      <c r="AY1045" s="38"/>
      <c r="AZ1045" s="38"/>
      <c r="BA1045" s="38"/>
      <c r="BB1045" s="38"/>
      <c r="BC1045" s="38"/>
      <c r="BD1045" s="38"/>
      <c r="BE1045" s="38"/>
      <c r="BF1045" s="38"/>
      <c r="BG1045" s="38"/>
      <c r="BH1045" s="38"/>
      <c r="BI1045" s="38"/>
      <c r="BJ1045" s="38"/>
      <c r="BK1045" s="38"/>
      <c r="BL1045" s="38"/>
      <c r="BM1045" s="38"/>
      <c r="BN1045" s="38"/>
      <c r="BO1045" s="38"/>
      <c r="BP1045" s="38"/>
      <c r="BQ1045" s="38"/>
      <c r="BR1045" s="38"/>
      <c r="BS1045" s="38"/>
      <c r="BT1045" s="38"/>
      <c r="BU1045" s="38"/>
      <c r="BV1045" s="38"/>
    </row>
    <row r="1046" ht="14.25" customHeight="1">
      <c r="A1046" s="74"/>
      <c r="B1046" s="38"/>
      <c r="C1046" s="38"/>
      <c r="D1046" s="38"/>
      <c r="E1046" s="74"/>
      <c r="F1046" s="74"/>
      <c r="G1046" s="74"/>
      <c r="H1046" s="74"/>
      <c r="I1046" s="74"/>
      <c r="J1046" s="74"/>
      <c r="K1046" s="74"/>
      <c r="L1046" s="74"/>
      <c r="M1046" s="74"/>
      <c r="N1046" s="74"/>
      <c r="O1046" s="74"/>
      <c r="P1046" s="74"/>
      <c r="Q1046" s="74"/>
      <c r="R1046" s="74"/>
      <c r="S1046" s="74"/>
      <c r="T1046" s="74"/>
      <c r="U1046" s="74"/>
      <c r="V1046" s="74"/>
      <c r="W1046" s="74"/>
      <c r="X1046" s="74"/>
      <c r="Y1046" s="74"/>
      <c r="Z1046" s="74"/>
      <c r="AA1046" s="74"/>
      <c r="AB1046" s="74"/>
      <c r="AC1046" s="74"/>
      <c r="AD1046" s="74"/>
      <c r="AE1046" s="74"/>
      <c r="AF1046" s="74"/>
      <c r="AG1046" s="74"/>
      <c r="AH1046" s="74"/>
      <c r="AI1046" s="74"/>
      <c r="AJ1046" s="74"/>
      <c r="AK1046" s="74"/>
      <c r="AL1046" s="38"/>
      <c r="AM1046" s="38"/>
      <c r="AN1046" s="75"/>
      <c r="AO1046" s="75"/>
      <c r="AP1046" s="38"/>
      <c r="AQ1046" s="38"/>
      <c r="AR1046" s="38"/>
      <c r="AS1046" s="38"/>
      <c r="AT1046" s="38"/>
      <c r="AU1046" s="38"/>
      <c r="AV1046" s="38"/>
      <c r="AW1046" s="38"/>
      <c r="AX1046" s="38"/>
      <c r="AY1046" s="38"/>
      <c r="AZ1046" s="38"/>
      <c r="BA1046" s="38"/>
      <c r="BB1046" s="38"/>
      <c r="BC1046" s="38"/>
      <c r="BD1046" s="38"/>
      <c r="BE1046" s="38"/>
      <c r="BF1046" s="38"/>
      <c r="BG1046" s="38"/>
      <c r="BH1046" s="38"/>
      <c r="BI1046" s="38"/>
      <c r="BJ1046" s="38"/>
      <c r="BK1046" s="38"/>
      <c r="BL1046" s="38"/>
      <c r="BM1046" s="38"/>
      <c r="BN1046" s="38"/>
      <c r="BO1046" s="38"/>
      <c r="BP1046" s="38"/>
      <c r="BQ1046" s="38"/>
      <c r="BR1046" s="38"/>
      <c r="BS1046" s="38"/>
      <c r="BT1046" s="38"/>
      <c r="BU1046" s="38"/>
      <c r="BV1046" s="38"/>
    </row>
    <row r="1047" ht="14.25" customHeight="1">
      <c r="A1047" s="74"/>
      <c r="B1047" s="38"/>
      <c r="C1047" s="38"/>
      <c r="D1047" s="38"/>
      <c r="E1047" s="74"/>
      <c r="F1047" s="74"/>
      <c r="G1047" s="74"/>
      <c r="H1047" s="74"/>
      <c r="I1047" s="74"/>
      <c r="J1047" s="74"/>
      <c r="K1047" s="74"/>
      <c r="L1047" s="74"/>
      <c r="M1047" s="74"/>
      <c r="N1047" s="74"/>
      <c r="O1047" s="74"/>
      <c r="P1047" s="74"/>
      <c r="Q1047" s="74"/>
      <c r="R1047" s="74"/>
      <c r="S1047" s="74"/>
      <c r="T1047" s="74"/>
      <c r="U1047" s="74"/>
      <c r="V1047" s="74"/>
      <c r="W1047" s="74"/>
      <c r="X1047" s="74"/>
      <c r="Y1047" s="74"/>
      <c r="Z1047" s="74"/>
      <c r="AA1047" s="74"/>
      <c r="AB1047" s="74"/>
      <c r="AC1047" s="74"/>
      <c r="AD1047" s="74"/>
      <c r="AE1047" s="74"/>
      <c r="AF1047" s="74"/>
      <c r="AG1047" s="74"/>
      <c r="AH1047" s="74"/>
      <c r="AI1047" s="74"/>
      <c r="AJ1047" s="74"/>
      <c r="AK1047" s="74"/>
      <c r="AL1047" s="38"/>
      <c r="AM1047" s="38"/>
      <c r="AN1047" s="75"/>
      <c r="AO1047" s="75"/>
      <c r="AP1047" s="38"/>
      <c r="AQ1047" s="38"/>
      <c r="AR1047" s="38"/>
      <c r="AS1047" s="38"/>
      <c r="AT1047" s="38"/>
      <c r="AU1047" s="38"/>
      <c r="AV1047" s="38"/>
      <c r="AW1047" s="38"/>
      <c r="AX1047" s="38"/>
      <c r="AY1047" s="38"/>
      <c r="AZ1047" s="38"/>
      <c r="BA1047" s="38"/>
      <c r="BB1047" s="38"/>
      <c r="BC1047" s="38"/>
      <c r="BD1047" s="38"/>
      <c r="BE1047" s="38"/>
      <c r="BF1047" s="38"/>
      <c r="BG1047" s="38"/>
      <c r="BH1047" s="38"/>
      <c r="BI1047" s="38"/>
      <c r="BJ1047" s="38"/>
      <c r="BK1047" s="38"/>
      <c r="BL1047" s="38"/>
      <c r="BM1047" s="38"/>
      <c r="BN1047" s="38"/>
      <c r="BO1047" s="38"/>
      <c r="BP1047" s="38"/>
      <c r="BQ1047" s="38"/>
      <c r="BR1047" s="38"/>
      <c r="BS1047" s="38"/>
      <c r="BT1047" s="38"/>
      <c r="BU1047" s="38"/>
      <c r="BV1047" s="38"/>
    </row>
    <row r="1048" ht="14.25" customHeight="1">
      <c r="A1048" s="74"/>
      <c r="B1048" s="38"/>
      <c r="C1048" s="38"/>
      <c r="D1048" s="38"/>
      <c r="E1048" s="74"/>
      <c r="F1048" s="74"/>
      <c r="G1048" s="74"/>
      <c r="H1048" s="74"/>
      <c r="I1048" s="74"/>
      <c r="J1048" s="74"/>
      <c r="K1048" s="74"/>
      <c r="L1048" s="74"/>
      <c r="M1048" s="74"/>
      <c r="N1048" s="74"/>
      <c r="O1048" s="74"/>
      <c r="P1048" s="74"/>
      <c r="Q1048" s="74"/>
      <c r="R1048" s="74"/>
      <c r="S1048" s="74"/>
      <c r="T1048" s="74"/>
      <c r="U1048" s="74"/>
      <c r="V1048" s="74"/>
      <c r="W1048" s="74"/>
      <c r="X1048" s="74"/>
      <c r="Y1048" s="74"/>
      <c r="Z1048" s="74"/>
      <c r="AA1048" s="74"/>
      <c r="AB1048" s="74"/>
      <c r="AC1048" s="74"/>
      <c r="AD1048" s="74"/>
      <c r="AE1048" s="74"/>
      <c r="AF1048" s="74"/>
      <c r="AG1048" s="74"/>
      <c r="AH1048" s="74"/>
      <c r="AI1048" s="74"/>
      <c r="AJ1048" s="74"/>
      <c r="AK1048" s="74"/>
      <c r="AL1048" s="38"/>
      <c r="AM1048" s="38"/>
      <c r="AN1048" s="75"/>
      <c r="AO1048" s="75"/>
      <c r="AP1048" s="38"/>
      <c r="AQ1048" s="38"/>
      <c r="AR1048" s="38"/>
      <c r="AS1048" s="38"/>
      <c r="AT1048" s="38"/>
      <c r="AU1048" s="38"/>
      <c r="AV1048" s="38"/>
      <c r="AW1048" s="38"/>
      <c r="AX1048" s="38"/>
      <c r="AY1048" s="38"/>
      <c r="AZ1048" s="38"/>
      <c r="BA1048" s="38"/>
      <c r="BB1048" s="38"/>
      <c r="BC1048" s="38"/>
      <c r="BD1048" s="38"/>
      <c r="BE1048" s="38"/>
      <c r="BF1048" s="38"/>
      <c r="BG1048" s="38"/>
      <c r="BH1048" s="38"/>
      <c r="BI1048" s="38"/>
      <c r="BJ1048" s="38"/>
      <c r="BK1048" s="38"/>
      <c r="BL1048" s="38"/>
      <c r="BM1048" s="38"/>
      <c r="BN1048" s="38"/>
      <c r="BO1048" s="38"/>
      <c r="BP1048" s="38"/>
      <c r="BQ1048" s="38"/>
      <c r="BR1048" s="38"/>
      <c r="BS1048" s="38"/>
      <c r="BT1048" s="38"/>
      <c r="BU1048" s="38"/>
      <c r="BV1048" s="38"/>
    </row>
    <row r="1049" ht="14.25" customHeight="1">
      <c r="A1049" s="74"/>
      <c r="B1049" s="38"/>
      <c r="C1049" s="38"/>
      <c r="D1049" s="38"/>
      <c r="E1049" s="74"/>
      <c r="F1049" s="74"/>
      <c r="G1049" s="74"/>
      <c r="H1049" s="74"/>
      <c r="I1049" s="74"/>
      <c r="J1049" s="74"/>
      <c r="K1049" s="74"/>
      <c r="L1049" s="74"/>
      <c r="M1049" s="74"/>
      <c r="N1049" s="74"/>
      <c r="O1049" s="74"/>
      <c r="P1049" s="74"/>
      <c r="Q1049" s="74"/>
      <c r="R1049" s="74"/>
      <c r="S1049" s="74"/>
      <c r="T1049" s="74"/>
      <c r="U1049" s="74"/>
      <c r="V1049" s="74"/>
      <c r="W1049" s="74"/>
      <c r="X1049" s="74"/>
      <c r="Y1049" s="74"/>
      <c r="Z1049" s="74"/>
      <c r="AA1049" s="74"/>
      <c r="AB1049" s="74"/>
      <c r="AC1049" s="74"/>
      <c r="AD1049" s="74"/>
      <c r="AE1049" s="74"/>
      <c r="AF1049" s="74"/>
      <c r="AG1049" s="74"/>
      <c r="AH1049" s="74"/>
      <c r="AI1049" s="74"/>
      <c r="AJ1049" s="74"/>
      <c r="AK1049" s="74"/>
      <c r="AL1049" s="38"/>
      <c r="AM1049" s="38"/>
      <c r="AN1049" s="75"/>
      <c r="AO1049" s="75"/>
      <c r="AP1049" s="38"/>
      <c r="AQ1049" s="38"/>
      <c r="AR1049" s="38"/>
      <c r="AS1049" s="38"/>
      <c r="AT1049" s="38"/>
      <c r="AU1049" s="38"/>
      <c r="AV1049" s="38"/>
      <c r="AW1049" s="38"/>
      <c r="AX1049" s="38"/>
      <c r="AY1049" s="38"/>
      <c r="AZ1049" s="38"/>
      <c r="BA1049" s="38"/>
      <c r="BB1049" s="38"/>
      <c r="BC1049" s="38"/>
      <c r="BD1049" s="38"/>
      <c r="BE1049" s="38"/>
      <c r="BF1049" s="38"/>
      <c r="BG1049" s="38"/>
      <c r="BH1049" s="38"/>
      <c r="BI1049" s="38"/>
      <c r="BJ1049" s="38"/>
      <c r="BK1049" s="38"/>
      <c r="BL1049" s="38"/>
      <c r="BM1049" s="38"/>
      <c r="BN1049" s="38"/>
      <c r="BO1049" s="38"/>
      <c r="BP1049" s="38"/>
      <c r="BQ1049" s="38"/>
      <c r="BR1049" s="38"/>
      <c r="BS1049" s="38"/>
      <c r="BT1049" s="38"/>
      <c r="BU1049" s="38"/>
      <c r="BV1049" s="38"/>
    </row>
    <row r="1050" ht="14.25" customHeight="1">
      <c r="A1050" s="74"/>
      <c r="B1050" s="38"/>
      <c r="C1050" s="38"/>
      <c r="D1050" s="38"/>
      <c r="E1050" s="74"/>
      <c r="F1050" s="74"/>
      <c r="G1050" s="74"/>
      <c r="H1050" s="74"/>
      <c r="I1050" s="74"/>
      <c r="J1050" s="74"/>
      <c r="K1050" s="74"/>
      <c r="L1050" s="74"/>
      <c r="M1050" s="74"/>
      <c r="N1050" s="74"/>
      <c r="O1050" s="74"/>
      <c r="P1050" s="74"/>
      <c r="Q1050" s="74"/>
      <c r="R1050" s="74"/>
      <c r="S1050" s="74"/>
      <c r="T1050" s="74"/>
      <c r="U1050" s="74"/>
      <c r="V1050" s="74"/>
      <c r="W1050" s="74"/>
      <c r="X1050" s="74"/>
      <c r="Y1050" s="74"/>
      <c r="Z1050" s="74"/>
      <c r="AA1050" s="74"/>
      <c r="AB1050" s="74"/>
      <c r="AC1050" s="74"/>
      <c r="AD1050" s="74"/>
      <c r="AE1050" s="74"/>
      <c r="AF1050" s="74"/>
      <c r="AG1050" s="74"/>
      <c r="AH1050" s="74"/>
      <c r="AI1050" s="74"/>
      <c r="AJ1050" s="74"/>
      <c r="AK1050" s="74"/>
      <c r="AL1050" s="38"/>
      <c r="AM1050" s="38"/>
      <c r="AN1050" s="75"/>
      <c r="AO1050" s="75"/>
      <c r="AP1050" s="38"/>
      <c r="AQ1050" s="38"/>
      <c r="AR1050" s="38"/>
      <c r="AS1050" s="38"/>
      <c r="AT1050" s="38"/>
      <c r="AU1050" s="38"/>
      <c r="AV1050" s="38"/>
      <c r="AW1050" s="38"/>
      <c r="AX1050" s="38"/>
      <c r="AY1050" s="38"/>
      <c r="AZ1050" s="38"/>
      <c r="BA1050" s="38"/>
      <c r="BB1050" s="38"/>
      <c r="BC1050" s="38"/>
      <c r="BD1050" s="38"/>
      <c r="BE1050" s="38"/>
      <c r="BF1050" s="38"/>
      <c r="BG1050" s="38"/>
      <c r="BH1050" s="38"/>
      <c r="BI1050" s="38"/>
      <c r="BJ1050" s="38"/>
      <c r="BK1050" s="38"/>
      <c r="BL1050" s="38"/>
      <c r="BM1050" s="38"/>
      <c r="BN1050" s="38"/>
      <c r="BO1050" s="38"/>
      <c r="BP1050" s="38"/>
      <c r="BQ1050" s="38"/>
      <c r="BR1050" s="38"/>
      <c r="BS1050" s="38"/>
      <c r="BT1050" s="38"/>
      <c r="BU1050" s="38"/>
      <c r="BV1050" s="38"/>
    </row>
    <row r="1051" ht="14.25" customHeight="1">
      <c r="A1051" s="74"/>
      <c r="B1051" s="38"/>
      <c r="C1051" s="38"/>
      <c r="D1051" s="38"/>
      <c r="E1051" s="74"/>
      <c r="F1051" s="74"/>
      <c r="G1051" s="74"/>
      <c r="H1051" s="74"/>
      <c r="I1051" s="74"/>
      <c r="J1051" s="74"/>
      <c r="K1051" s="74"/>
      <c r="L1051" s="74"/>
      <c r="M1051" s="74"/>
      <c r="N1051" s="74"/>
      <c r="O1051" s="74"/>
      <c r="P1051" s="74"/>
      <c r="Q1051" s="74"/>
      <c r="R1051" s="74"/>
      <c r="S1051" s="74"/>
      <c r="T1051" s="74"/>
      <c r="U1051" s="74"/>
      <c r="V1051" s="74"/>
      <c r="W1051" s="74"/>
      <c r="X1051" s="74"/>
      <c r="Y1051" s="74"/>
      <c r="Z1051" s="74"/>
      <c r="AA1051" s="74"/>
      <c r="AB1051" s="74"/>
      <c r="AC1051" s="74"/>
      <c r="AD1051" s="74"/>
      <c r="AE1051" s="74"/>
      <c r="AF1051" s="74"/>
      <c r="AG1051" s="74"/>
      <c r="AH1051" s="74"/>
      <c r="AI1051" s="74"/>
      <c r="AJ1051" s="74"/>
      <c r="AK1051" s="74"/>
      <c r="AL1051" s="38"/>
      <c r="AM1051" s="38"/>
      <c r="AN1051" s="75"/>
      <c r="AO1051" s="75"/>
      <c r="AP1051" s="38"/>
      <c r="AQ1051" s="38"/>
      <c r="AR1051" s="38"/>
      <c r="AS1051" s="38"/>
      <c r="AT1051" s="38"/>
      <c r="AU1051" s="38"/>
      <c r="AV1051" s="38"/>
      <c r="AW1051" s="38"/>
      <c r="AX1051" s="38"/>
      <c r="AY1051" s="38"/>
      <c r="AZ1051" s="38"/>
      <c r="BA1051" s="38"/>
      <c r="BB1051" s="38"/>
      <c r="BC1051" s="38"/>
      <c r="BD1051" s="38"/>
      <c r="BE1051" s="38"/>
      <c r="BF1051" s="38"/>
      <c r="BG1051" s="38"/>
      <c r="BH1051" s="38"/>
      <c r="BI1051" s="38"/>
      <c r="BJ1051" s="38"/>
      <c r="BK1051" s="38"/>
      <c r="BL1051" s="38"/>
      <c r="BM1051" s="38"/>
      <c r="BN1051" s="38"/>
      <c r="BO1051" s="38"/>
      <c r="BP1051" s="38"/>
      <c r="BQ1051" s="38"/>
      <c r="BR1051" s="38"/>
      <c r="BS1051" s="38"/>
      <c r="BT1051" s="38"/>
      <c r="BU1051" s="38"/>
      <c r="BV1051" s="38"/>
    </row>
    <row r="1052" ht="14.25" customHeight="1">
      <c r="A1052" s="74"/>
      <c r="B1052" s="38"/>
      <c r="C1052" s="38"/>
      <c r="D1052" s="38"/>
      <c r="E1052" s="74"/>
      <c r="F1052" s="74"/>
      <c r="G1052" s="74"/>
      <c r="H1052" s="74"/>
      <c r="I1052" s="74"/>
      <c r="J1052" s="74"/>
      <c r="K1052" s="74"/>
      <c r="L1052" s="74"/>
      <c r="M1052" s="74"/>
      <c r="N1052" s="74"/>
      <c r="O1052" s="74"/>
      <c r="P1052" s="74"/>
      <c r="Q1052" s="74"/>
      <c r="R1052" s="74"/>
      <c r="S1052" s="74"/>
      <c r="T1052" s="74"/>
      <c r="U1052" s="74"/>
      <c r="V1052" s="74"/>
      <c r="W1052" s="74"/>
      <c r="X1052" s="74"/>
      <c r="Y1052" s="74"/>
      <c r="Z1052" s="74"/>
      <c r="AA1052" s="74"/>
      <c r="AB1052" s="74"/>
      <c r="AC1052" s="74"/>
      <c r="AD1052" s="74"/>
      <c r="AE1052" s="74"/>
      <c r="AF1052" s="74"/>
      <c r="AG1052" s="74"/>
      <c r="AH1052" s="74"/>
      <c r="AI1052" s="74"/>
      <c r="AJ1052" s="74"/>
      <c r="AK1052" s="74"/>
      <c r="AL1052" s="38"/>
      <c r="AM1052" s="38"/>
      <c r="AN1052" s="75"/>
      <c r="AO1052" s="75"/>
      <c r="AP1052" s="38"/>
      <c r="AQ1052" s="38"/>
      <c r="AR1052" s="38"/>
      <c r="AS1052" s="38"/>
      <c r="AT1052" s="38"/>
      <c r="AU1052" s="38"/>
      <c r="AV1052" s="38"/>
      <c r="AW1052" s="38"/>
      <c r="AX1052" s="38"/>
      <c r="AY1052" s="38"/>
      <c r="AZ1052" s="38"/>
      <c r="BA1052" s="38"/>
      <c r="BB1052" s="38"/>
      <c r="BC1052" s="38"/>
      <c r="BD1052" s="38"/>
      <c r="BE1052" s="38"/>
      <c r="BF1052" s="38"/>
      <c r="BG1052" s="38"/>
      <c r="BH1052" s="38"/>
      <c r="BI1052" s="38"/>
      <c r="BJ1052" s="38"/>
      <c r="BK1052" s="38"/>
      <c r="BL1052" s="38"/>
      <c r="BM1052" s="38"/>
      <c r="BN1052" s="38"/>
      <c r="BO1052" s="38"/>
      <c r="BP1052" s="38"/>
      <c r="BQ1052" s="38"/>
      <c r="BR1052" s="38"/>
      <c r="BS1052" s="38"/>
      <c r="BT1052" s="38"/>
      <c r="BU1052" s="38"/>
      <c r="BV1052" s="38"/>
    </row>
    <row r="1053" ht="14.25" customHeight="1">
      <c r="A1053" s="74"/>
      <c r="B1053" s="38"/>
      <c r="C1053" s="38"/>
      <c r="D1053" s="38"/>
      <c r="E1053" s="74"/>
      <c r="F1053" s="74"/>
      <c r="G1053" s="74"/>
      <c r="H1053" s="74"/>
      <c r="I1053" s="74"/>
      <c r="J1053" s="74"/>
      <c r="K1053" s="74"/>
      <c r="L1053" s="74"/>
      <c r="M1053" s="74"/>
      <c r="N1053" s="74"/>
      <c r="O1053" s="74"/>
      <c r="P1053" s="74"/>
      <c r="Q1053" s="74"/>
      <c r="R1053" s="74"/>
      <c r="S1053" s="74"/>
      <c r="T1053" s="74"/>
      <c r="U1053" s="74"/>
      <c r="V1053" s="74"/>
      <c r="W1053" s="74"/>
      <c r="X1053" s="74"/>
      <c r="Y1053" s="74"/>
      <c r="Z1053" s="74"/>
      <c r="AA1053" s="74"/>
      <c r="AB1053" s="74"/>
      <c r="AC1053" s="74"/>
      <c r="AD1053" s="74"/>
      <c r="AE1053" s="74"/>
      <c r="AF1053" s="74"/>
      <c r="AG1053" s="74"/>
      <c r="AH1053" s="74"/>
      <c r="AI1053" s="74"/>
      <c r="AJ1053" s="74"/>
      <c r="AK1053" s="74"/>
      <c r="AL1053" s="38"/>
      <c r="AM1053" s="38"/>
      <c r="AN1053" s="75"/>
      <c r="AO1053" s="75"/>
      <c r="AP1053" s="38"/>
      <c r="AQ1053" s="38"/>
      <c r="AR1053" s="38"/>
      <c r="AS1053" s="38"/>
      <c r="AT1053" s="38"/>
      <c r="AU1053" s="38"/>
      <c r="AV1053" s="38"/>
      <c r="AW1053" s="38"/>
      <c r="AX1053" s="38"/>
      <c r="AY1053" s="38"/>
      <c r="AZ1053" s="38"/>
      <c r="BA1053" s="38"/>
      <c r="BB1053" s="38"/>
      <c r="BC1053" s="38"/>
      <c r="BD1053" s="38"/>
      <c r="BE1053" s="38"/>
      <c r="BF1053" s="38"/>
      <c r="BG1053" s="38"/>
      <c r="BH1053" s="38"/>
      <c r="BI1053" s="38"/>
      <c r="BJ1053" s="38"/>
      <c r="BK1053" s="38"/>
      <c r="BL1053" s="38"/>
      <c r="BM1053" s="38"/>
      <c r="BN1053" s="38"/>
      <c r="BO1053" s="38"/>
      <c r="BP1053" s="38"/>
      <c r="BQ1053" s="38"/>
      <c r="BR1053" s="38"/>
      <c r="BS1053" s="38"/>
      <c r="BT1053" s="38"/>
      <c r="BU1053" s="38"/>
      <c r="BV1053" s="38"/>
    </row>
    <row r="1054" ht="14.25" customHeight="1">
      <c r="A1054" s="74"/>
      <c r="B1054" s="38"/>
      <c r="C1054" s="38"/>
      <c r="D1054" s="38"/>
      <c r="E1054" s="74"/>
      <c r="F1054" s="74"/>
      <c r="G1054" s="74"/>
      <c r="H1054" s="74"/>
      <c r="I1054" s="74"/>
      <c r="J1054" s="74"/>
      <c r="K1054" s="74"/>
      <c r="L1054" s="74"/>
      <c r="M1054" s="74"/>
      <c r="N1054" s="74"/>
      <c r="O1054" s="74"/>
      <c r="P1054" s="74"/>
      <c r="Q1054" s="74"/>
      <c r="R1054" s="74"/>
      <c r="S1054" s="74"/>
      <c r="T1054" s="74"/>
      <c r="U1054" s="74"/>
      <c r="V1054" s="74"/>
      <c r="W1054" s="74"/>
      <c r="X1054" s="74"/>
      <c r="Y1054" s="74"/>
      <c r="Z1054" s="74"/>
      <c r="AA1054" s="74"/>
      <c r="AB1054" s="74"/>
      <c r="AC1054" s="74"/>
      <c r="AD1054" s="74"/>
      <c r="AE1054" s="74"/>
      <c r="AF1054" s="74"/>
      <c r="AG1054" s="74"/>
      <c r="AH1054" s="74"/>
      <c r="AI1054" s="74"/>
      <c r="AJ1054" s="74"/>
      <c r="AK1054" s="74"/>
      <c r="AL1054" s="38"/>
      <c r="AM1054" s="38"/>
      <c r="AN1054" s="75"/>
      <c r="AO1054" s="75"/>
      <c r="AP1054" s="38"/>
      <c r="AQ1054" s="38"/>
      <c r="AR1054" s="38"/>
      <c r="AS1054" s="38"/>
      <c r="AT1054" s="38"/>
      <c r="AU1054" s="38"/>
      <c r="AV1054" s="38"/>
      <c r="AW1054" s="38"/>
      <c r="AX1054" s="38"/>
      <c r="AY1054" s="38"/>
      <c r="AZ1054" s="38"/>
      <c r="BA1054" s="38"/>
      <c r="BB1054" s="38"/>
      <c r="BC1054" s="38"/>
      <c r="BD1054" s="38"/>
      <c r="BE1054" s="38"/>
      <c r="BF1054" s="38"/>
      <c r="BG1054" s="38"/>
      <c r="BH1054" s="38"/>
      <c r="BI1054" s="38"/>
      <c r="BJ1054" s="38"/>
      <c r="BK1054" s="38"/>
      <c r="BL1054" s="38"/>
      <c r="BM1054" s="38"/>
      <c r="BN1054" s="38"/>
      <c r="BO1054" s="38"/>
      <c r="BP1054" s="38"/>
      <c r="BQ1054" s="38"/>
      <c r="BR1054" s="38"/>
      <c r="BS1054" s="38"/>
      <c r="BT1054" s="38"/>
      <c r="BU1054" s="38"/>
      <c r="BV1054" s="38"/>
    </row>
    <row r="1055" ht="14.25" customHeight="1">
      <c r="A1055" s="74"/>
      <c r="B1055" s="38"/>
      <c r="C1055" s="38"/>
      <c r="D1055" s="38"/>
      <c r="E1055" s="74"/>
      <c r="F1055" s="74"/>
      <c r="G1055" s="74"/>
      <c r="H1055" s="74"/>
      <c r="I1055" s="74"/>
      <c r="J1055" s="74"/>
      <c r="K1055" s="74"/>
      <c r="L1055" s="74"/>
      <c r="M1055" s="74"/>
      <c r="N1055" s="74"/>
      <c r="O1055" s="74"/>
      <c r="P1055" s="74"/>
      <c r="Q1055" s="74"/>
      <c r="R1055" s="74"/>
      <c r="S1055" s="74"/>
      <c r="T1055" s="74"/>
      <c r="U1055" s="74"/>
      <c r="V1055" s="74"/>
      <c r="W1055" s="74"/>
      <c r="X1055" s="74"/>
      <c r="Y1055" s="74"/>
      <c r="Z1055" s="74"/>
      <c r="AA1055" s="74"/>
      <c r="AB1055" s="74"/>
      <c r="AC1055" s="74"/>
      <c r="AD1055" s="74"/>
      <c r="AE1055" s="74"/>
      <c r="AF1055" s="74"/>
      <c r="AG1055" s="74"/>
      <c r="AH1055" s="74"/>
      <c r="AI1055" s="74"/>
      <c r="AJ1055" s="74"/>
      <c r="AK1055" s="74"/>
      <c r="AL1055" s="38"/>
      <c r="AM1055" s="38"/>
      <c r="AN1055" s="75"/>
      <c r="AO1055" s="75"/>
      <c r="AP1055" s="38"/>
      <c r="AQ1055" s="38"/>
      <c r="AR1055" s="38"/>
      <c r="AS1055" s="38"/>
      <c r="AT1055" s="38"/>
      <c r="AU1055" s="38"/>
      <c r="AV1055" s="38"/>
      <c r="AW1055" s="38"/>
      <c r="AX1055" s="38"/>
      <c r="AY1055" s="38"/>
      <c r="AZ1055" s="38"/>
      <c r="BA1055" s="38"/>
      <c r="BB1055" s="38"/>
      <c r="BC1055" s="38"/>
      <c r="BD1055" s="38"/>
      <c r="BE1055" s="38"/>
      <c r="BF1055" s="38"/>
      <c r="BG1055" s="38"/>
      <c r="BH1055" s="38"/>
      <c r="BI1055" s="38"/>
      <c r="BJ1055" s="38"/>
      <c r="BK1055" s="38"/>
      <c r="BL1055" s="38"/>
      <c r="BM1055" s="38"/>
      <c r="BN1055" s="38"/>
      <c r="BO1055" s="38"/>
      <c r="BP1055" s="38"/>
      <c r="BQ1055" s="38"/>
      <c r="BR1055" s="38"/>
      <c r="BS1055" s="38"/>
      <c r="BT1055" s="38"/>
      <c r="BU1055" s="38"/>
      <c r="BV1055" s="38"/>
    </row>
    <row r="1056" ht="14.25" customHeight="1">
      <c r="A1056" s="74"/>
      <c r="B1056" s="38"/>
      <c r="C1056" s="38"/>
      <c r="D1056" s="38"/>
      <c r="E1056" s="74"/>
      <c r="F1056" s="74"/>
      <c r="G1056" s="74"/>
      <c r="H1056" s="74"/>
      <c r="I1056" s="74"/>
      <c r="J1056" s="74"/>
      <c r="K1056" s="74"/>
      <c r="L1056" s="74"/>
      <c r="M1056" s="74"/>
      <c r="N1056" s="74"/>
      <c r="O1056" s="74"/>
      <c r="P1056" s="74"/>
      <c r="Q1056" s="74"/>
      <c r="R1056" s="74"/>
      <c r="S1056" s="74"/>
      <c r="T1056" s="74"/>
      <c r="U1056" s="74"/>
      <c r="V1056" s="74"/>
      <c r="W1056" s="74"/>
      <c r="X1056" s="74"/>
      <c r="Y1056" s="74"/>
      <c r="Z1056" s="74"/>
      <c r="AA1056" s="74"/>
      <c r="AB1056" s="74"/>
      <c r="AC1056" s="74"/>
      <c r="AD1056" s="74"/>
      <c r="AE1056" s="74"/>
      <c r="AF1056" s="74"/>
      <c r="AG1056" s="74"/>
      <c r="AH1056" s="74"/>
      <c r="AI1056" s="74"/>
      <c r="AJ1056" s="74"/>
      <c r="AK1056" s="74"/>
      <c r="AL1056" s="38"/>
      <c r="AM1056" s="38"/>
      <c r="AN1056" s="75"/>
      <c r="AO1056" s="75"/>
      <c r="AP1056" s="38"/>
      <c r="AQ1056" s="38"/>
      <c r="AR1056" s="38"/>
      <c r="AS1056" s="38"/>
      <c r="AT1056" s="38"/>
      <c r="AU1056" s="38"/>
      <c r="AV1056" s="38"/>
      <c r="AW1056" s="38"/>
      <c r="AX1056" s="38"/>
      <c r="AY1056" s="38"/>
      <c r="AZ1056" s="38"/>
      <c r="BA1056" s="38"/>
      <c r="BB1056" s="38"/>
      <c r="BC1056" s="38"/>
      <c r="BD1056" s="38"/>
      <c r="BE1056" s="38"/>
      <c r="BF1056" s="38"/>
      <c r="BG1056" s="38"/>
      <c r="BH1056" s="38"/>
      <c r="BI1056" s="38"/>
      <c r="BJ1056" s="38"/>
      <c r="BK1056" s="38"/>
      <c r="BL1056" s="38"/>
      <c r="BM1056" s="38"/>
      <c r="BN1056" s="38"/>
      <c r="BO1056" s="38"/>
      <c r="BP1056" s="38"/>
      <c r="BQ1056" s="38"/>
      <c r="BR1056" s="38"/>
      <c r="BS1056" s="38"/>
      <c r="BT1056" s="38"/>
      <c r="BU1056" s="38"/>
      <c r="BV1056" s="38"/>
    </row>
    <row r="1057" ht="14.25" customHeight="1">
      <c r="A1057" s="74"/>
      <c r="B1057" s="38"/>
      <c r="C1057" s="38"/>
      <c r="D1057" s="38"/>
      <c r="E1057" s="74"/>
      <c r="F1057" s="74"/>
      <c r="G1057" s="74"/>
      <c r="H1057" s="74"/>
      <c r="I1057" s="74"/>
      <c r="J1057" s="74"/>
      <c r="K1057" s="74"/>
      <c r="L1057" s="74"/>
      <c r="M1057" s="74"/>
      <c r="N1057" s="74"/>
      <c r="O1057" s="74"/>
      <c r="P1057" s="74"/>
      <c r="Q1057" s="74"/>
      <c r="R1057" s="74"/>
      <c r="S1057" s="74"/>
      <c r="T1057" s="74"/>
      <c r="U1057" s="74"/>
      <c r="V1057" s="74"/>
      <c r="W1057" s="74"/>
      <c r="X1057" s="74"/>
      <c r="Y1057" s="74"/>
      <c r="Z1057" s="74"/>
      <c r="AA1057" s="74"/>
      <c r="AB1057" s="74"/>
      <c r="AC1057" s="74"/>
      <c r="AD1057" s="74"/>
      <c r="AE1057" s="74"/>
      <c r="AF1057" s="74"/>
      <c r="AG1057" s="74"/>
      <c r="AH1057" s="74"/>
      <c r="AI1057" s="74"/>
      <c r="AJ1057" s="74"/>
      <c r="AK1057" s="74"/>
      <c r="AL1057" s="38"/>
      <c r="AM1057" s="38"/>
      <c r="AN1057" s="75"/>
      <c r="AO1057" s="75"/>
      <c r="AP1057" s="38"/>
      <c r="AQ1057" s="38"/>
      <c r="AR1057" s="38"/>
      <c r="AS1057" s="38"/>
      <c r="AT1057" s="38"/>
      <c r="AU1057" s="38"/>
      <c r="AV1057" s="38"/>
      <c r="AW1057" s="38"/>
      <c r="AX1057" s="38"/>
      <c r="AY1057" s="38"/>
      <c r="AZ1057" s="38"/>
      <c r="BA1057" s="38"/>
      <c r="BB1057" s="38"/>
      <c r="BC1057" s="38"/>
      <c r="BD1057" s="38"/>
      <c r="BE1057" s="38"/>
      <c r="BF1057" s="38"/>
      <c r="BG1057" s="38"/>
      <c r="BH1057" s="38"/>
      <c r="BI1057" s="38"/>
      <c r="BJ1057" s="38"/>
      <c r="BK1057" s="38"/>
      <c r="BL1057" s="38"/>
      <c r="BM1057" s="38"/>
      <c r="BN1057" s="38"/>
      <c r="BO1057" s="38"/>
      <c r="BP1057" s="38"/>
      <c r="BQ1057" s="38"/>
      <c r="BR1057" s="38"/>
      <c r="BS1057" s="38"/>
      <c r="BT1057" s="38"/>
      <c r="BU1057" s="38"/>
      <c r="BV1057" s="38"/>
    </row>
    <row r="1058" ht="14.25" customHeight="1">
      <c r="A1058" s="74"/>
      <c r="B1058" s="38"/>
      <c r="C1058" s="38"/>
      <c r="D1058" s="38"/>
      <c r="E1058" s="74"/>
      <c r="F1058" s="74"/>
      <c r="G1058" s="74"/>
      <c r="H1058" s="74"/>
      <c r="I1058" s="74"/>
      <c r="J1058" s="74"/>
      <c r="K1058" s="74"/>
      <c r="L1058" s="74"/>
      <c r="M1058" s="74"/>
      <c r="N1058" s="74"/>
      <c r="O1058" s="74"/>
      <c r="P1058" s="74"/>
      <c r="Q1058" s="74"/>
      <c r="R1058" s="74"/>
      <c r="S1058" s="74"/>
      <c r="T1058" s="74"/>
      <c r="U1058" s="74"/>
      <c r="V1058" s="74"/>
      <c r="W1058" s="74"/>
      <c r="X1058" s="74"/>
      <c r="Y1058" s="74"/>
      <c r="Z1058" s="74"/>
      <c r="AA1058" s="74"/>
      <c r="AB1058" s="74"/>
      <c r="AC1058" s="74"/>
      <c r="AD1058" s="74"/>
      <c r="AE1058" s="74"/>
      <c r="AF1058" s="74"/>
      <c r="AG1058" s="74"/>
      <c r="AH1058" s="74"/>
      <c r="AI1058" s="74"/>
      <c r="AJ1058" s="74"/>
      <c r="AK1058" s="74"/>
      <c r="AL1058" s="38"/>
      <c r="AM1058" s="38"/>
      <c r="AN1058" s="75"/>
      <c r="AO1058" s="75"/>
      <c r="AP1058" s="38"/>
      <c r="AQ1058" s="38"/>
      <c r="AR1058" s="38"/>
      <c r="AS1058" s="38"/>
      <c r="AT1058" s="38"/>
      <c r="AU1058" s="38"/>
      <c r="AV1058" s="38"/>
      <c r="AW1058" s="38"/>
      <c r="AX1058" s="38"/>
      <c r="AY1058" s="38"/>
      <c r="AZ1058" s="38"/>
      <c r="BA1058" s="38"/>
      <c r="BB1058" s="38"/>
      <c r="BC1058" s="38"/>
      <c r="BD1058" s="38"/>
      <c r="BE1058" s="38"/>
      <c r="BF1058" s="38"/>
      <c r="BG1058" s="38"/>
      <c r="BH1058" s="38"/>
      <c r="BI1058" s="38"/>
      <c r="BJ1058" s="38"/>
      <c r="BK1058" s="38"/>
      <c r="BL1058" s="38"/>
      <c r="BM1058" s="38"/>
      <c r="BN1058" s="38"/>
      <c r="BO1058" s="38"/>
      <c r="BP1058" s="38"/>
      <c r="BQ1058" s="38"/>
      <c r="BR1058" s="38"/>
      <c r="BS1058" s="38"/>
      <c r="BT1058" s="38"/>
      <c r="BU1058" s="38"/>
      <c r="BV1058" s="38"/>
    </row>
    <row r="1059" ht="14.25" customHeight="1">
      <c r="A1059" s="74"/>
      <c r="B1059" s="38"/>
      <c r="C1059" s="38"/>
      <c r="D1059" s="38"/>
      <c r="E1059" s="74"/>
      <c r="F1059" s="74"/>
      <c r="G1059" s="74"/>
      <c r="H1059" s="74"/>
      <c r="I1059" s="74"/>
      <c r="J1059" s="74"/>
      <c r="K1059" s="74"/>
      <c r="L1059" s="74"/>
      <c r="M1059" s="74"/>
      <c r="N1059" s="74"/>
      <c r="O1059" s="74"/>
      <c r="P1059" s="74"/>
      <c r="Q1059" s="74"/>
      <c r="R1059" s="74"/>
      <c r="S1059" s="74"/>
      <c r="T1059" s="74"/>
      <c r="U1059" s="74"/>
      <c r="V1059" s="74"/>
      <c r="W1059" s="74"/>
      <c r="X1059" s="74"/>
      <c r="Y1059" s="74"/>
      <c r="Z1059" s="74"/>
      <c r="AA1059" s="74"/>
      <c r="AB1059" s="74"/>
      <c r="AC1059" s="74"/>
      <c r="AD1059" s="74"/>
      <c r="AE1059" s="74"/>
      <c r="AF1059" s="74"/>
      <c r="AG1059" s="74"/>
      <c r="AH1059" s="74"/>
      <c r="AI1059" s="74"/>
      <c r="AJ1059" s="74"/>
      <c r="AK1059" s="74"/>
      <c r="AL1059" s="38"/>
      <c r="AM1059" s="38"/>
      <c r="AN1059" s="75"/>
      <c r="AO1059" s="75"/>
      <c r="AP1059" s="38"/>
      <c r="AQ1059" s="38"/>
      <c r="AR1059" s="38"/>
      <c r="AS1059" s="38"/>
      <c r="AT1059" s="38"/>
      <c r="AU1059" s="38"/>
      <c r="AV1059" s="38"/>
      <c r="AW1059" s="38"/>
      <c r="AX1059" s="38"/>
      <c r="AY1059" s="38"/>
      <c r="AZ1059" s="38"/>
      <c r="BA1059" s="38"/>
      <c r="BB1059" s="38"/>
      <c r="BC1059" s="38"/>
      <c r="BD1059" s="38"/>
      <c r="BE1059" s="38"/>
      <c r="BF1059" s="38"/>
      <c r="BG1059" s="38"/>
      <c r="BH1059" s="38"/>
      <c r="BI1059" s="38"/>
      <c r="BJ1059" s="38"/>
      <c r="BK1059" s="38"/>
      <c r="BL1059" s="38"/>
      <c r="BM1059" s="38"/>
      <c r="BN1059" s="38"/>
      <c r="BO1059" s="38"/>
      <c r="BP1059" s="38"/>
      <c r="BQ1059" s="38"/>
      <c r="BR1059" s="38"/>
      <c r="BS1059" s="38"/>
      <c r="BT1059" s="38"/>
      <c r="BU1059" s="38"/>
      <c r="BV1059" s="38"/>
    </row>
    <row r="1060" ht="14.25" customHeight="1">
      <c r="A1060" s="74"/>
      <c r="B1060" s="38"/>
      <c r="C1060" s="38"/>
      <c r="D1060" s="38"/>
      <c r="E1060" s="74"/>
      <c r="F1060" s="74"/>
      <c r="G1060" s="74"/>
      <c r="H1060" s="74"/>
      <c r="I1060" s="74"/>
      <c r="J1060" s="74"/>
      <c r="K1060" s="74"/>
      <c r="L1060" s="74"/>
      <c r="M1060" s="74"/>
      <c r="N1060" s="74"/>
      <c r="O1060" s="74"/>
      <c r="P1060" s="74"/>
      <c r="Q1060" s="74"/>
      <c r="R1060" s="74"/>
      <c r="S1060" s="74"/>
      <c r="T1060" s="74"/>
      <c r="U1060" s="74"/>
      <c r="V1060" s="74"/>
      <c r="W1060" s="74"/>
      <c r="X1060" s="74"/>
      <c r="Y1060" s="74"/>
      <c r="Z1060" s="74"/>
      <c r="AA1060" s="74"/>
      <c r="AB1060" s="74"/>
      <c r="AC1060" s="74"/>
      <c r="AD1060" s="74"/>
      <c r="AE1060" s="74"/>
      <c r="AF1060" s="74"/>
      <c r="AG1060" s="74"/>
      <c r="AH1060" s="74"/>
      <c r="AI1060" s="74"/>
      <c r="AJ1060" s="74"/>
      <c r="AK1060" s="74"/>
      <c r="AL1060" s="38"/>
      <c r="AM1060" s="38"/>
      <c r="AN1060" s="75"/>
      <c r="AO1060" s="75"/>
      <c r="AP1060" s="38"/>
      <c r="AQ1060" s="38"/>
      <c r="AR1060" s="38"/>
      <c r="AS1060" s="38"/>
      <c r="AT1060" s="38"/>
      <c r="AU1060" s="38"/>
      <c r="AV1060" s="38"/>
      <c r="AW1060" s="38"/>
      <c r="AX1060" s="38"/>
      <c r="AY1060" s="38"/>
      <c r="AZ1060" s="38"/>
      <c r="BA1060" s="38"/>
      <c r="BB1060" s="38"/>
      <c r="BC1060" s="38"/>
      <c r="BD1060" s="38"/>
      <c r="BE1060" s="38"/>
      <c r="BF1060" s="38"/>
      <c r="BG1060" s="38"/>
      <c r="BH1060" s="38"/>
      <c r="BI1060" s="38"/>
      <c r="BJ1060" s="38"/>
      <c r="BK1060" s="38"/>
      <c r="BL1060" s="38"/>
      <c r="BM1060" s="38"/>
      <c r="BN1060" s="38"/>
      <c r="BO1060" s="38"/>
      <c r="BP1060" s="38"/>
      <c r="BQ1060" s="38"/>
      <c r="BR1060" s="38"/>
      <c r="BS1060" s="38"/>
      <c r="BT1060" s="38"/>
      <c r="BU1060" s="38"/>
      <c r="BV1060" s="38"/>
    </row>
    <row r="1061" ht="14.25" customHeight="1">
      <c r="A1061" s="74"/>
      <c r="B1061" s="38"/>
      <c r="C1061" s="38"/>
      <c r="D1061" s="38"/>
      <c r="E1061" s="74"/>
      <c r="F1061" s="74"/>
      <c r="G1061" s="74"/>
      <c r="H1061" s="74"/>
      <c r="I1061" s="74"/>
      <c r="J1061" s="74"/>
      <c r="K1061" s="74"/>
      <c r="L1061" s="74"/>
      <c r="M1061" s="74"/>
      <c r="N1061" s="74"/>
      <c r="O1061" s="74"/>
      <c r="P1061" s="74"/>
      <c r="Q1061" s="74"/>
      <c r="R1061" s="74"/>
      <c r="S1061" s="74"/>
      <c r="T1061" s="74"/>
      <c r="U1061" s="74"/>
      <c r="V1061" s="74"/>
      <c r="W1061" s="74"/>
      <c r="X1061" s="74"/>
      <c r="Y1061" s="74"/>
      <c r="Z1061" s="74"/>
      <c r="AA1061" s="74"/>
      <c r="AB1061" s="74"/>
      <c r="AC1061" s="74"/>
      <c r="AD1061" s="74"/>
      <c r="AE1061" s="74"/>
      <c r="AF1061" s="74"/>
      <c r="AG1061" s="74"/>
      <c r="AH1061" s="74"/>
      <c r="AI1061" s="74"/>
      <c r="AJ1061" s="74"/>
      <c r="AK1061" s="74"/>
      <c r="AL1061" s="38"/>
      <c r="AM1061" s="38"/>
      <c r="AN1061" s="75"/>
      <c r="AO1061" s="75"/>
      <c r="AP1061" s="38"/>
      <c r="AQ1061" s="38"/>
      <c r="AR1061" s="38"/>
      <c r="AS1061" s="38"/>
      <c r="AT1061" s="38"/>
      <c r="AU1061" s="38"/>
      <c r="AV1061" s="38"/>
      <c r="AW1061" s="38"/>
      <c r="AX1061" s="38"/>
      <c r="AY1061" s="38"/>
      <c r="AZ1061" s="38"/>
      <c r="BA1061" s="38"/>
      <c r="BB1061" s="38"/>
      <c r="BC1061" s="38"/>
      <c r="BD1061" s="38"/>
      <c r="BE1061" s="38"/>
      <c r="BF1061" s="38"/>
      <c r="BG1061" s="38"/>
      <c r="BH1061" s="38"/>
      <c r="BI1061" s="38"/>
      <c r="BJ1061" s="38"/>
      <c r="BK1061" s="38"/>
      <c r="BL1061" s="38"/>
      <c r="BM1061" s="38"/>
      <c r="BN1061" s="38"/>
      <c r="BO1061" s="38"/>
      <c r="BP1061" s="38"/>
      <c r="BQ1061" s="38"/>
      <c r="BR1061" s="38"/>
      <c r="BS1061" s="38"/>
      <c r="BT1061" s="38"/>
      <c r="BU1061" s="38"/>
      <c r="BV1061" s="38"/>
    </row>
    <row r="1062" ht="14.25" customHeight="1">
      <c r="A1062" s="74"/>
      <c r="B1062" s="38"/>
      <c r="C1062" s="38"/>
      <c r="D1062" s="38"/>
      <c r="E1062" s="74"/>
      <c r="F1062" s="74"/>
      <c r="G1062" s="74"/>
      <c r="H1062" s="74"/>
      <c r="I1062" s="74"/>
      <c r="J1062" s="74"/>
      <c r="K1062" s="74"/>
      <c r="L1062" s="74"/>
      <c r="M1062" s="74"/>
      <c r="N1062" s="74"/>
      <c r="O1062" s="74"/>
      <c r="P1062" s="74"/>
      <c r="Q1062" s="74"/>
      <c r="R1062" s="74"/>
      <c r="S1062" s="74"/>
      <c r="T1062" s="74"/>
      <c r="U1062" s="74"/>
      <c r="V1062" s="74"/>
      <c r="W1062" s="74"/>
      <c r="X1062" s="74"/>
      <c r="Y1062" s="74"/>
      <c r="Z1062" s="74"/>
      <c r="AA1062" s="74"/>
      <c r="AB1062" s="74"/>
      <c r="AC1062" s="74"/>
      <c r="AD1062" s="74"/>
      <c r="AE1062" s="74"/>
      <c r="AF1062" s="74"/>
      <c r="AG1062" s="74"/>
      <c r="AH1062" s="74"/>
      <c r="AI1062" s="74"/>
      <c r="AJ1062" s="74"/>
      <c r="AK1062" s="74"/>
      <c r="AL1062" s="38"/>
      <c r="AM1062" s="38"/>
      <c r="AN1062" s="75"/>
      <c r="AO1062" s="75"/>
      <c r="AP1062" s="38"/>
      <c r="AQ1062" s="38"/>
      <c r="AR1062" s="38"/>
      <c r="AS1062" s="38"/>
      <c r="AT1062" s="38"/>
      <c r="AU1062" s="38"/>
      <c r="AV1062" s="38"/>
      <c r="AW1062" s="38"/>
      <c r="AX1062" s="38"/>
      <c r="AY1062" s="38"/>
      <c r="AZ1062" s="38"/>
      <c r="BA1062" s="38"/>
      <c r="BB1062" s="38"/>
      <c r="BC1062" s="38"/>
      <c r="BD1062" s="38"/>
      <c r="BE1062" s="38"/>
      <c r="BF1062" s="38"/>
      <c r="BG1062" s="38"/>
      <c r="BH1062" s="38"/>
      <c r="BI1062" s="38"/>
      <c r="BJ1062" s="38"/>
      <c r="BK1062" s="38"/>
      <c r="BL1062" s="38"/>
      <c r="BM1062" s="38"/>
      <c r="BN1062" s="38"/>
      <c r="BO1062" s="38"/>
      <c r="BP1062" s="38"/>
      <c r="BQ1062" s="38"/>
      <c r="BR1062" s="38"/>
      <c r="BS1062" s="38"/>
      <c r="BT1062" s="38"/>
      <c r="BU1062" s="38"/>
      <c r="BV1062" s="38"/>
    </row>
    <row r="1063" ht="14.25" customHeight="1">
      <c r="A1063" s="74"/>
      <c r="B1063" s="38"/>
      <c r="C1063" s="38"/>
      <c r="D1063" s="38"/>
      <c r="E1063" s="74"/>
      <c r="F1063" s="74"/>
      <c r="G1063" s="74"/>
      <c r="H1063" s="74"/>
      <c r="I1063" s="74"/>
      <c r="J1063" s="74"/>
      <c r="K1063" s="74"/>
      <c r="L1063" s="74"/>
      <c r="M1063" s="74"/>
      <c r="N1063" s="74"/>
      <c r="O1063" s="74"/>
      <c r="P1063" s="74"/>
      <c r="Q1063" s="74"/>
      <c r="R1063" s="74"/>
      <c r="S1063" s="74"/>
      <c r="T1063" s="74"/>
      <c r="U1063" s="74"/>
      <c r="V1063" s="74"/>
      <c r="W1063" s="74"/>
      <c r="X1063" s="74"/>
      <c r="Y1063" s="74"/>
      <c r="Z1063" s="74"/>
      <c r="AA1063" s="74"/>
      <c r="AB1063" s="74"/>
      <c r="AC1063" s="74"/>
      <c r="AD1063" s="74"/>
      <c r="AE1063" s="74"/>
      <c r="AF1063" s="74"/>
      <c r="AG1063" s="74"/>
      <c r="AH1063" s="74"/>
      <c r="AI1063" s="74"/>
      <c r="AJ1063" s="74"/>
      <c r="AK1063" s="74"/>
      <c r="AL1063" s="38"/>
      <c r="AM1063" s="38"/>
      <c r="AN1063" s="75"/>
      <c r="AO1063" s="75"/>
      <c r="AP1063" s="38"/>
      <c r="AQ1063" s="38"/>
      <c r="AR1063" s="38"/>
      <c r="AS1063" s="38"/>
      <c r="AT1063" s="38"/>
      <c r="AU1063" s="38"/>
      <c r="AV1063" s="38"/>
      <c r="AW1063" s="38"/>
      <c r="AX1063" s="38"/>
      <c r="AY1063" s="38"/>
      <c r="AZ1063" s="38"/>
      <c r="BA1063" s="38"/>
      <c r="BB1063" s="38"/>
      <c r="BC1063" s="38"/>
      <c r="BD1063" s="38"/>
      <c r="BE1063" s="38"/>
      <c r="BF1063" s="38"/>
      <c r="BG1063" s="38"/>
      <c r="BH1063" s="38"/>
      <c r="BI1063" s="38"/>
      <c r="BJ1063" s="38"/>
      <c r="BK1063" s="38"/>
      <c r="BL1063" s="38"/>
      <c r="BM1063" s="38"/>
      <c r="BN1063" s="38"/>
      <c r="BO1063" s="38"/>
      <c r="BP1063" s="38"/>
      <c r="BQ1063" s="38"/>
      <c r="BR1063" s="38"/>
      <c r="BS1063" s="38"/>
      <c r="BT1063" s="38"/>
      <c r="BU1063" s="38"/>
      <c r="BV1063" s="38"/>
    </row>
    <row r="1064" ht="14.25" customHeight="1">
      <c r="A1064" s="74"/>
      <c r="B1064" s="38"/>
      <c r="C1064" s="38"/>
      <c r="D1064" s="38"/>
      <c r="E1064" s="74"/>
      <c r="F1064" s="74"/>
      <c r="G1064" s="74"/>
      <c r="H1064" s="74"/>
      <c r="I1064" s="74"/>
      <c r="J1064" s="74"/>
      <c r="K1064" s="74"/>
      <c r="L1064" s="74"/>
      <c r="M1064" s="74"/>
      <c r="N1064" s="74"/>
      <c r="O1064" s="74"/>
      <c r="P1064" s="74"/>
      <c r="Q1064" s="74"/>
      <c r="R1064" s="74"/>
      <c r="S1064" s="74"/>
      <c r="T1064" s="74"/>
      <c r="U1064" s="74"/>
      <c r="V1064" s="74"/>
      <c r="W1064" s="74"/>
      <c r="X1064" s="74"/>
      <c r="Y1064" s="74"/>
      <c r="Z1064" s="74"/>
      <c r="AA1064" s="74"/>
      <c r="AB1064" s="74"/>
      <c r="AC1064" s="74"/>
      <c r="AD1064" s="74"/>
      <c r="AE1064" s="74"/>
      <c r="AF1064" s="74"/>
      <c r="AG1064" s="74"/>
      <c r="AH1064" s="74"/>
      <c r="AI1064" s="74"/>
      <c r="AJ1064" s="74"/>
      <c r="AK1064" s="74"/>
      <c r="AL1064" s="38"/>
      <c r="AM1064" s="38"/>
      <c r="AN1064" s="75"/>
      <c r="AO1064" s="75"/>
      <c r="AP1064" s="38"/>
      <c r="AQ1064" s="38"/>
      <c r="AR1064" s="38"/>
      <c r="AS1064" s="38"/>
      <c r="AT1064" s="38"/>
      <c r="AU1064" s="38"/>
      <c r="AV1064" s="38"/>
      <c r="AW1064" s="38"/>
      <c r="AX1064" s="38"/>
      <c r="AY1064" s="38"/>
      <c r="AZ1064" s="38"/>
      <c r="BA1064" s="38"/>
      <c r="BB1064" s="38"/>
      <c r="BC1064" s="38"/>
      <c r="BD1064" s="38"/>
      <c r="BE1064" s="38"/>
      <c r="BF1064" s="38"/>
      <c r="BG1064" s="38"/>
      <c r="BH1064" s="38"/>
      <c r="BI1064" s="38"/>
      <c r="BJ1064" s="38"/>
      <c r="BK1064" s="38"/>
      <c r="BL1064" s="38"/>
      <c r="BM1064" s="38"/>
      <c r="BN1064" s="38"/>
      <c r="BO1064" s="38"/>
      <c r="BP1064" s="38"/>
      <c r="BQ1064" s="38"/>
      <c r="BR1064" s="38"/>
      <c r="BS1064" s="38"/>
      <c r="BT1064" s="38"/>
      <c r="BU1064" s="38"/>
      <c r="BV1064" s="38"/>
    </row>
    <row r="1065" ht="14.25" customHeight="1">
      <c r="A1065" s="74"/>
      <c r="B1065" s="38"/>
      <c r="C1065" s="38"/>
      <c r="D1065" s="38"/>
      <c r="E1065" s="74"/>
      <c r="F1065" s="74"/>
      <c r="G1065" s="74"/>
      <c r="H1065" s="74"/>
      <c r="I1065" s="74"/>
      <c r="J1065" s="74"/>
      <c r="K1065" s="74"/>
      <c r="L1065" s="74"/>
      <c r="M1065" s="74"/>
      <c r="N1065" s="74"/>
      <c r="O1065" s="74"/>
      <c r="P1065" s="74"/>
      <c r="Q1065" s="74"/>
      <c r="R1065" s="74"/>
      <c r="S1065" s="74"/>
      <c r="T1065" s="74"/>
      <c r="U1065" s="74"/>
      <c r="V1065" s="74"/>
      <c r="W1065" s="74"/>
      <c r="X1065" s="74"/>
      <c r="Y1065" s="74"/>
      <c r="Z1065" s="74"/>
      <c r="AA1065" s="74"/>
      <c r="AB1065" s="74"/>
      <c r="AC1065" s="74"/>
      <c r="AD1065" s="74"/>
      <c r="AE1065" s="74"/>
      <c r="AF1065" s="74"/>
      <c r="AG1065" s="74"/>
      <c r="AH1065" s="74"/>
      <c r="AI1065" s="74"/>
      <c r="AJ1065" s="74"/>
      <c r="AK1065" s="74"/>
      <c r="AL1065" s="38"/>
      <c r="AM1065" s="38"/>
      <c r="AN1065" s="75"/>
      <c r="AO1065" s="75"/>
      <c r="AP1065" s="38"/>
      <c r="AQ1065" s="38"/>
      <c r="AR1065" s="38"/>
      <c r="AS1065" s="38"/>
      <c r="AT1065" s="38"/>
      <c r="AU1065" s="38"/>
      <c r="AV1065" s="38"/>
      <c r="AW1065" s="38"/>
      <c r="AX1065" s="38"/>
      <c r="AY1065" s="38"/>
      <c r="AZ1065" s="38"/>
      <c r="BA1065" s="38"/>
      <c r="BB1065" s="38"/>
      <c r="BC1065" s="38"/>
      <c r="BD1065" s="38"/>
      <c r="BE1065" s="38"/>
      <c r="BF1065" s="38"/>
      <c r="BG1065" s="38"/>
      <c r="BH1065" s="38"/>
      <c r="BI1065" s="38"/>
      <c r="BJ1065" s="38"/>
      <c r="BK1065" s="38"/>
      <c r="BL1065" s="38"/>
      <c r="BM1065" s="38"/>
      <c r="BN1065" s="38"/>
      <c r="BO1065" s="38"/>
      <c r="BP1065" s="38"/>
      <c r="BQ1065" s="38"/>
      <c r="BR1065" s="38"/>
      <c r="BS1065" s="38"/>
      <c r="BT1065" s="38"/>
      <c r="BU1065" s="38"/>
      <c r="BV1065" s="38"/>
    </row>
    <row r="1066" ht="14.25" customHeight="1">
      <c r="A1066" s="74"/>
      <c r="B1066" s="38"/>
      <c r="C1066" s="38"/>
      <c r="D1066" s="38"/>
      <c r="E1066" s="74"/>
      <c r="F1066" s="74"/>
      <c r="G1066" s="74"/>
      <c r="H1066" s="74"/>
      <c r="I1066" s="74"/>
      <c r="J1066" s="74"/>
      <c r="K1066" s="74"/>
      <c r="L1066" s="74"/>
      <c r="M1066" s="74"/>
      <c r="N1066" s="74"/>
      <c r="O1066" s="74"/>
      <c r="P1066" s="74"/>
      <c r="Q1066" s="74"/>
      <c r="R1066" s="74"/>
      <c r="S1066" s="74"/>
      <c r="T1066" s="74"/>
      <c r="U1066" s="74"/>
      <c r="V1066" s="74"/>
      <c r="W1066" s="74"/>
      <c r="X1066" s="74"/>
      <c r="Y1066" s="74"/>
      <c r="Z1066" s="74"/>
      <c r="AA1066" s="74"/>
      <c r="AB1066" s="74"/>
      <c r="AC1066" s="74"/>
      <c r="AD1066" s="74"/>
      <c r="AE1066" s="74"/>
      <c r="AF1066" s="74"/>
      <c r="AG1066" s="74"/>
      <c r="AH1066" s="74"/>
      <c r="AI1066" s="74"/>
      <c r="AJ1066" s="74"/>
      <c r="AK1066" s="74"/>
      <c r="AL1066" s="38"/>
      <c r="AM1066" s="38"/>
      <c r="AN1066" s="75"/>
      <c r="AO1066" s="75"/>
      <c r="AP1066" s="38"/>
      <c r="AQ1066" s="38"/>
      <c r="AR1066" s="38"/>
      <c r="AS1066" s="38"/>
      <c r="AT1066" s="38"/>
      <c r="AU1066" s="38"/>
      <c r="AV1066" s="38"/>
      <c r="AW1066" s="38"/>
      <c r="AX1066" s="38"/>
      <c r="AY1066" s="38"/>
      <c r="AZ1066" s="38"/>
      <c r="BA1066" s="38"/>
      <c r="BB1066" s="38"/>
      <c r="BC1066" s="38"/>
      <c r="BD1066" s="38"/>
      <c r="BE1066" s="38"/>
      <c r="BF1066" s="38"/>
      <c r="BG1066" s="38"/>
      <c r="BH1066" s="38"/>
      <c r="BI1066" s="38"/>
      <c r="BJ1066" s="38"/>
      <c r="BK1066" s="38"/>
      <c r="BL1066" s="38"/>
      <c r="BM1066" s="38"/>
      <c r="BN1066" s="38"/>
      <c r="BO1066" s="38"/>
      <c r="BP1066" s="38"/>
      <c r="BQ1066" s="38"/>
      <c r="BR1066" s="38"/>
      <c r="BS1066" s="38"/>
      <c r="BT1066" s="38"/>
      <c r="BU1066" s="38"/>
      <c r="BV1066" s="38"/>
    </row>
    <row r="1067" ht="14.25" customHeight="1">
      <c r="A1067" s="74"/>
      <c r="B1067" s="38"/>
      <c r="C1067" s="38"/>
      <c r="D1067" s="38"/>
      <c r="E1067" s="74"/>
      <c r="F1067" s="74"/>
      <c r="G1067" s="74"/>
      <c r="H1067" s="74"/>
      <c r="I1067" s="74"/>
      <c r="J1067" s="74"/>
      <c r="K1067" s="74"/>
      <c r="L1067" s="74"/>
      <c r="M1067" s="74"/>
      <c r="N1067" s="74"/>
      <c r="O1067" s="74"/>
      <c r="P1067" s="74"/>
      <c r="Q1067" s="74"/>
      <c r="R1067" s="74"/>
      <c r="S1067" s="74"/>
      <c r="T1067" s="74"/>
      <c r="U1067" s="74"/>
      <c r="V1067" s="74"/>
      <c r="W1067" s="74"/>
      <c r="X1067" s="74"/>
      <c r="Y1067" s="74"/>
      <c r="Z1067" s="74"/>
      <c r="AA1067" s="74"/>
      <c r="AB1067" s="74"/>
      <c r="AC1067" s="74"/>
      <c r="AD1067" s="74"/>
      <c r="AE1067" s="74"/>
      <c r="AF1067" s="74"/>
      <c r="AG1067" s="74"/>
      <c r="AH1067" s="74"/>
      <c r="AI1067" s="74"/>
      <c r="AJ1067" s="74"/>
      <c r="AK1067" s="74"/>
      <c r="AL1067" s="38"/>
      <c r="AM1067" s="38"/>
      <c r="AN1067" s="75"/>
      <c r="AO1067" s="75"/>
      <c r="AP1067" s="38"/>
      <c r="AQ1067" s="38"/>
      <c r="AR1067" s="38"/>
      <c r="AS1067" s="38"/>
      <c r="AT1067" s="38"/>
      <c r="AU1067" s="38"/>
      <c r="AV1067" s="38"/>
      <c r="AW1067" s="38"/>
      <c r="AX1067" s="38"/>
      <c r="AY1067" s="38"/>
      <c r="AZ1067" s="38"/>
      <c r="BA1067" s="38"/>
      <c r="BB1067" s="38"/>
      <c r="BC1067" s="38"/>
      <c r="BD1067" s="38"/>
      <c r="BE1067" s="38"/>
      <c r="BF1067" s="38"/>
      <c r="BG1067" s="38"/>
      <c r="BH1067" s="38"/>
      <c r="BI1067" s="38"/>
      <c r="BJ1067" s="38"/>
      <c r="BK1067" s="38"/>
      <c r="BL1067" s="38"/>
      <c r="BM1067" s="38"/>
      <c r="BN1067" s="38"/>
      <c r="BO1067" s="38"/>
      <c r="BP1067" s="38"/>
      <c r="BQ1067" s="38"/>
      <c r="BR1067" s="38"/>
      <c r="BS1067" s="38"/>
      <c r="BT1067" s="38"/>
      <c r="BU1067" s="38"/>
      <c r="BV1067" s="38"/>
    </row>
    <row r="1068" ht="14.25" customHeight="1">
      <c r="A1068" s="74"/>
      <c r="B1068" s="38"/>
      <c r="C1068" s="38"/>
      <c r="D1068" s="38"/>
      <c r="E1068" s="74"/>
      <c r="F1068" s="74"/>
      <c r="G1068" s="74"/>
      <c r="H1068" s="74"/>
      <c r="I1068" s="74"/>
      <c r="J1068" s="74"/>
      <c r="K1068" s="74"/>
      <c r="L1068" s="74"/>
      <c r="M1068" s="74"/>
      <c r="N1068" s="74"/>
      <c r="O1068" s="74"/>
      <c r="P1068" s="74"/>
      <c r="Q1068" s="74"/>
      <c r="R1068" s="74"/>
      <c r="S1068" s="74"/>
      <c r="T1068" s="74"/>
      <c r="U1068" s="74"/>
      <c r="V1068" s="74"/>
      <c r="W1068" s="74"/>
      <c r="X1068" s="74"/>
      <c r="Y1068" s="74"/>
      <c r="Z1068" s="74"/>
      <c r="AA1068" s="74"/>
      <c r="AB1068" s="74"/>
      <c r="AC1068" s="74"/>
      <c r="AD1068" s="74"/>
      <c r="AE1068" s="74"/>
      <c r="AF1068" s="74"/>
      <c r="AG1068" s="74"/>
      <c r="AH1068" s="74"/>
      <c r="AI1068" s="74"/>
      <c r="AJ1068" s="74"/>
      <c r="AK1068" s="74"/>
      <c r="AL1068" s="38"/>
      <c r="AM1068" s="38"/>
      <c r="AN1068" s="75"/>
      <c r="AO1068" s="75"/>
      <c r="AP1068" s="38"/>
      <c r="AQ1068" s="38"/>
      <c r="AR1068" s="38"/>
      <c r="AS1068" s="38"/>
      <c r="AT1068" s="38"/>
      <c r="AU1068" s="38"/>
      <c r="AV1068" s="38"/>
      <c r="AW1068" s="38"/>
      <c r="AX1068" s="38"/>
      <c r="AY1068" s="38"/>
      <c r="AZ1068" s="38"/>
      <c r="BA1068" s="38"/>
      <c r="BB1068" s="38"/>
      <c r="BC1068" s="38"/>
      <c r="BD1068" s="38"/>
      <c r="BE1068" s="38"/>
      <c r="BF1068" s="38"/>
      <c r="BG1068" s="38"/>
      <c r="BH1068" s="38"/>
      <c r="BI1068" s="38"/>
      <c r="BJ1068" s="38"/>
      <c r="BK1068" s="38"/>
      <c r="BL1068" s="38"/>
      <c r="BM1068" s="38"/>
      <c r="BN1068" s="38"/>
      <c r="BO1068" s="38"/>
      <c r="BP1068" s="38"/>
      <c r="BQ1068" s="38"/>
      <c r="BR1068" s="38"/>
      <c r="BS1068" s="38"/>
      <c r="BT1068" s="38"/>
      <c r="BU1068" s="38"/>
      <c r="BV1068" s="38"/>
    </row>
    <row r="1069" ht="14.25" customHeight="1">
      <c r="A1069" s="74"/>
      <c r="B1069" s="38"/>
      <c r="C1069" s="38"/>
      <c r="D1069" s="38"/>
      <c r="E1069" s="74"/>
      <c r="F1069" s="74"/>
      <c r="G1069" s="74"/>
      <c r="H1069" s="74"/>
      <c r="I1069" s="74"/>
      <c r="J1069" s="74"/>
      <c r="K1069" s="74"/>
      <c r="L1069" s="74"/>
      <c r="M1069" s="74"/>
      <c r="N1069" s="74"/>
      <c r="O1069" s="74"/>
      <c r="P1069" s="74"/>
      <c r="Q1069" s="74"/>
      <c r="R1069" s="74"/>
      <c r="S1069" s="74"/>
      <c r="T1069" s="74"/>
      <c r="U1069" s="74"/>
      <c r="V1069" s="74"/>
      <c r="W1069" s="74"/>
      <c r="X1069" s="74"/>
      <c r="Y1069" s="74"/>
      <c r="Z1069" s="74"/>
      <c r="AA1069" s="74"/>
      <c r="AB1069" s="74"/>
      <c r="AC1069" s="74"/>
      <c r="AD1069" s="74"/>
      <c r="AE1069" s="74"/>
      <c r="AF1069" s="74"/>
      <c r="AG1069" s="74"/>
      <c r="AH1069" s="74"/>
      <c r="AI1069" s="74"/>
      <c r="AJ1069" s="74"/>
      <c r="AK1069" s="74"/>
      <c r="AL1069" s="38"/>
      <c r="AM1069" s="38"/>
      <c r="AN1069" s="75"/>
      <c r="AO1069" s="75"/>
      <c r="AP1069" s="38"/>
      <c r="AQ1069" s="38"/>
      <c r="AR1069" s="38"/>
      <c r="AS1069" s="38"/>
      <c r="AT1069" s="38"/>
      <c r="AU1069" s="38"/>
      <c r="AV1069" s="38"/>
      <c r="AW1069" s="38"/>
      <c r="AX1069" s="38"/>
      <c r="AY1069" s="38"/>
      <c r="AZ1069" s="38"/>
      <c r="BA1069" s="38"/>
      <c r="BB1069" s="38"/>
      <c r="BC1069" s="38"/>
      <c r="BD1069" s="38"/>
      <c r="BE1069" s="38"/>
      <c r="BF1069" s="38"/>
      <c r="BG1069" s="38"/>
      <c r="BH1069" s="38"/>
      <c r="BI1069" s="38"/>
      <c r="BJ1069" s="38"/>
      <c r="BK1069" s="38"/>
      <c r="BL1069" s="38"/>
      <c r="BM1069" s="38"/>
      <c r="BN1069" s="38"/>
      <c r="BO1069" s="38"/>
      <c r="BP1069" s="38"/>
      <c r="BQ1069" s="38"/>
      <c r="BR1069" s="38"/>
      <c r="BS1069" s="38"/>
      <c r="BT1069" s="38"/>
      <c r="BU1069" s="38"/>
      <c r="BV1069" s="38"/>
    </row>
    <row r="1070" ht="14.25" customHeight="1">
      <c r="A1070" s="74"/>
      <c r="B1070" s="38"/>
      <c r="C1070" s="38"/>
      <c r="D1070" s="38"/>
      <c r="E1070" s="74"/>
      <c r="F1070" s="74"/>
      <c r="G1070" s="74"/>
      <c r="H1070" s="74"/>
      <c r="I1070" s="74"/>
      <c r="J1070" s="74"/>
      <c r="K1070" s="74"/>
      <c r="L1070" s="74"/>
      <c r="M1070" s="74"/>
      <c r="N1070" s="74"/>
      <c r="O1070" s="74"/>
      <c r="P1070" s="74"/>
      <c r="Q1070" s="74"/>
      <c r="R1070" s="74"/>
      <c r="S1070" s="74"/>
      <c r="T1070" s="74"/>
      <c r="U1070" s="74"/>
      <c r="V1070" s="74"/>
      <c r="W1070" s="74"/>
      <c r="X1070" s="74"/>
      <c r="Y1070" s="74"/>
      <c r="Z1070" s="74"/>
      <c r="AA1070" s="74"/>
      <c r="AB1070" s="74"/>
      <c r="AC1070" s="74"/>
      <c r="AD1070" s="74"/>
      <c r="AE1070" s="74"/>
      <c r="AF1070" s="74"/>
      <c r="AG1070" s="74"/>
      <c r="AH1070" s="74"/>
      <c r="AI1070" s="74"/>
      <c r="AJ1070" s="74"/>
      <c r="AK1070" s="74"/>
      <c r="AL1070" s="38"/>
      <c r="AM1070" s="38"/>
      <c r="AN1070" s="75"/>
      <c r="AO1070" s="75"/>
      <c r="AP1070" s="38"/>
      <c r="AQ1070" s="38"/>
      <c r="AR1070" s="38"/>
      <c r="AS1070" s="38"/>
      <c r="AT1070" s="38"/>
      <c r="AU1070" s="38"/>
      <c r="AV1070" s="38"/>
      <c r="AW1070" s="38"/>
      <c r="AX1070" s="38"/>
      <c r="AY1070" s="38"/>
      <c r="AZ1070" s="38"/>
      <c r="BA1070" s="38"/>
      <c r="BB1070" s="38"/>
      <c r="BC1070" s="38"/>
      <c r="BD1070" s="38"/>
      <c r="BE1070" s="38"/>
      <c r="BF1070" s="38"/>
      <c r="BG1070" s="38"/>
      <c r="BH1070" s="38"/>
      <c r="BI1070" s="38"/>
      <c r="BJ1070" s="38"/>
      <c r="BK1070" s="38"/>
      <c r="BL1070" s="38"/>
      <c r="BM1070" s="38"/>
      <c r="BN1070" s="38"/>
      <c r="BO1070" s="38"/>
      <c r="BP1070" s="38"/>
      <c r="BQ1070" s="38"/>
      <c r="BR1070" s="38"/>
      <c r="BS1070" s="38"/>
      <c r="BT1070" s="38"/>
      <c r="BU1070" s="38"/>
      <c r="BV1070" s="38"/>
    </row>
    <row r="1071" ht="14.25" customHeight="1">
      <c r="A1071" s="74"/>
      <c r="B1071" s="38"/>
      <c r="C1071" s="38"/>
      <c r="D1071" s="38"/>
      <c r="E1071" s="74"/>
      <c r="F1071" s="74"/>
      <c r="G1071" s="74"/>
      <c r="H1071" s="74"/>
      <c r="I1071" s="74"/>
      <c r="J1071" s="74"/>
      <c r="K1071" s="74"/>
      <c r="L1071" s="74"/>
      <c r="M1071" s="74"/>
      <c r="N1071" s="74"/>
      <c r="O1071" s="74"/>
      <c r="P1071" s="74"/>
      <c r="Q1071" s="74"/>
      <c r="R1071" s="74"/>
      <c r="S1071" s="74"/>
      <c r="T1071" s="74"/>
      <c r="U1071" s="74"/>
      <c r="V1071" s="74"/>
      <c r="W1071" s="74"/>
      <c r="X1071" s="74"/>
      <c r="Y1071" s="74"/>
      <c r="Z1071" s="74"/>
      <c r="AA1071" s="74"/>
      <c r="AB1071" s="74"/>
      <c r="AC1071" s="74"/>
      <c r="AD1071" s="74"/>
      <c r="AE1071" s="74"/>
      <c r="AF1071" s="74"/>
      <c r="AG1071" s="74"/>
      <c r="AH1071" s="74"/>
      <c r="AI1071" s="74"/>
      <c r="AJ1071" s="74"/>
      <c r="AK1071" s="74"/>
      <c r="AL1071" s="38"/>
      <c r="AM1071" s="38"/>
      <c r="AN1071" s="75"/>
      <c r="AO1071" s="75"/>
      <c r="AP1071" s="38"/>
      <c r="AQ1071" s="38"/>
      <c r="AR1071" s="38"/>
      <c r="AS1071" s="38"/>
      <c r="AT1071" s="38"/>
      <c r="AU1071" s="38"/>
      <c r="AV1071" s="38"/>
      <c r="AW1071" s="38"/>
      <c r="AX1071" s="38"/>
      <c r="AY1071" s="38"/>
      <c r="AZ1071" s="38"/>
      <c r="BA1071" s="38"/>
      <c r="BB1071" s="38"/>
      <c r="BC1071" s="38"/>
      <c r="BD1071" s="38"/>
      <c r="BE1071" s="38"/>
      <c r="BF1071" s="38"/>
      <c r="BG1071" s="38"/>
      <c r="BH1071" s="38"/>
      <c r="BI1071" s="38"/>
      <c r="BJ1071" s="38"/>
      <c r="BK1071" s="38"/>
      <c r="BL1071" s="38"/>
      <c r="BM1071" s="38"/>
      <c r="BN1071" s="38"/>
      <c r="BO1071" s="38"/>
      <c r="BP1071" s="38"/>
      <c r="BQ1071" s="38"/>
      <c r="BR1071" s="38"/>
      <c r="BS1071" s="38"/>
      <c r="BT1071" s="38"/>
      <c r="BU1071" s="38"/>
      <c r="BV1071" s="38"/>
    </row>
    <row r="1072" ht="14.25" customHeight="1">
      <c r="A1072" s="74"/>
      <c r="B1072" s="38"/>
      <c r="C1072" s="38"/>
      <c r="D1072" s="38"/>
      <c r="E1072" s="74"/>
      <c r="F1072" s="74"/>
      <c r="G1072" s="74"/>
      <c r="H1072" s="74"/>
      <c r="I1072" s="74"/>
      <c r="J1072" s="74"/>
      <c r="K1072" s="74"/>
      <c r="L1072" s="74"/>
      <c r="M1072" s="74"/>
      <c r="N1072" s="74"/>
      <c r="O1072" s="74"/>
      <c r="P1072" s="74"/>
      <c r="Q1072" s="74"/>
      <c r="R1072" s="74"/>
      <c r="S1072" s="74"/>
      <c r="T1072" s="74"/>
      <c r="U1072" s="74"/>
      <c r="V1072" s="74"/>
      <c r="W1072" s="74"/>
      <c r="X1072" s="74"/>
      <c r="Y1072" s="74"/>
      <c r="Z1072" s="74"/>
      <c r="AA1072" s="74"/>
      <c r="AB1072" s="74"/>
      <c r="AC1072" s="74"/>
      <c r="AD1072" s="74"/>
      <c r="AE1072" s="74"/>
      <c r="AF1072" s="74"/>
      <c r="AG1072" s="74"/>
      <c r="AH1072" s="74"/>
      <c r="AI1072" s="74"/>
      <c r="AJ1072" s="74"/>
      <c r="AK1072" s="74"/>
      <c r="AL1072" s="38"/>
      <c r="AM1072" s="38"/>
      <c r="AN1072" s="75"/>
      <c r="AO1072" s="75"/>
      <c r="AP1072" s="38"/>
      <c r="AQ1072" s="38"/>
      <c r="AR1072" s="38"/>
      <c r="AS1072" s="38"/>
      <c r="AT1072" s="38"/>
      <c r="AU1072" s="38"/>
      <c r="AV1072" s="38"/>
      <c r="AW1072" s="38"/>
      <c r="AX1072" s="38"/>
      <c r="AY1072" s="38"/>
      <c r="AZ1072" s="38"/>
      <c r="BA1072" s="38"/>
      <c r="BB1072" s="38"/>
      <c r="BC1072" s="38"/>
      <c r="BD1072" s="38"/>
      <c r="BE1072" s="38"/>
      <c r="BF1072" s="38"/>
      <c r="BG1072" s="38"/>
      <c r="BH1072" s="38"/>
      <c r="BI1072" s="38"/>
      <c r="BJ1072" s="38"/>
      <c r="BK1072" s="38"/>
      <c r="BL1072" s="38"/>
      <c r="BM1072" s="38"/>
      <c r="BN1072" s="38"/>
      <c r="BO1072" s="38"/>
      <c r="BP1072" s="38"/>
      <c r="BQ1072" s="38"/>
      <c r="BR1072" s="38"/>
      <c r="BS1072" s="38"/>
      <c r="BT1072" s="38"/>
      <c r="BU1072" s="38"/>
      <c r="BV1072" s="38"/>
    </row>
    <row r="1073" ht="14.25" customHeight="1">
      <c r="A1073" s="74"/>
      <c r="B1073" s="38"/>
      <c r="C1073" s="38"/>
      <c r="D1073" s="38"/>
      <c r="E1073" s="74"/>
      <c r="F1073" s="74"/>
      <c r="G1073" s="74"/>
      <c r="H1073" s="74"/>
      <c r="I1073" s="74"/>
      <c r="J1073" s="74"/>
      <c r="K1073" s="74"/>
      <c r="L1073" s="74"/>
      <c r="M1073" s="74"/>
      <c r="N1073" s="74"/>
      <c r="O1073" s="74"/>
      <c r="P1073" s="74"/>
      <c r="Q1073" s="74"/>
      <c r="R1073" s="74"/>
      <c r="S1073" s="74"/>
      <c r="T1073" s="74"/>
      <c r="U1073" s="74"/>
      <c r="V1073" s="74"/>
      <c r="W1073" s="74"/>
      <c r="X1073" s="74"/>
      <c r="Y1073" s="74"/>
      <c r="Z1073" s="74"/>
      <c r="AA1073" s="74"/>
      <c r="AB1073" s="74"/>
      <c r="AC1073" s="74"/>
      <c r="AD1073" s="74"/>
      <c r="AE1073" s="74"/>
      <c r="AF1073" s="74"/>
      <c r="AG1073" s="74"/>
      <c r="AH1073" s="74"/>
      <c r="AI1073" s="74"/>
      <c r="AJ1073" s="74"/>
      <c r="AK1073" s="74"/>
      <c r="AL1073" s="38"/>
      <c r="AM1073" s="38"/>
      <c r="AN1073" s="75"/>
      <c r="AO1073" s="75"/>
      <c r="AP1073" s="38"/>
      <c r="AQ1073" s="38"/>
      <c r="AR1073" s="38"/>
      <c r="AS1073" s="38"/>
      <c r="AT1073" s="38"/>
      <c r="AU1073" s="38"/>
      <c r="AV1073" s="38"/>
      <c r="AW1073" s="38"/>
      <c r="AX1073" s="38"/>
      <c r="AY1073" s="38"/>
      <c r="AZ1073" s="38"/>
      <c r="BA1073" s="38"/>
      <c r="BB1073" s="38"/>
      <c r="BC1073" s="38"/>
      <c r="BD1073" s="38"/>
      <c r="BE1073" s="38"/>
      <c r="BF1073" s="38"/>
      <c r="BG1073" s="38"/>
      <c r="BH1073" s="38"/>
      <c r="BI1073" s="38"/>
      <c r="BJ1073" s="38"/>
      <c r="BK1073" s="38"/>
      <c r="BL1073" s="38"/>
      <c r="BM1073" s="38"/>
      <c r="BN1073" s="38"/>
      <c r="BO1073" s="38"/>
      <c r="BP1073" s="38"/>
      <c r="BQ1073" s="38"/>
      <c r="BR1073" s="38"/>
      <c r="BS1073" s="38"/>
      <c r="BT1073" s="38"/>
      <c r="BU1073" s="38"/>
      <c r="BV1073" s="38"/>
    </row>
    <row r="1074" ht="14.25" customHeight="1">
      <c r="A1074" s="74"/>
      <c r="B1074" s="38"/>
      <c r="C1074" s="38"/>
      <c r="D1074" s="38"/>
      <c r="E1074" s="74"/>
      <c r="F1074" s="74"/>
      <c r="G1074" s="74"/>
      <c r="H1074" s="74"/>
      <c r="I1074" s="74"/>
      <c r="J1074" s="74"/>
      <c r="K1074" s="74"/>
      <c r="L1074" s="74"/>
      <c r="M1074" s="74"/>
      <c r="N1074" s="74"/>
      <c r="O1074" s="74"/>
      <c r="P1074" s="74"/>
      <c r="Q1074" s="74"/>
      <c r="R1074" s="74"/>
      <c r="S1074" s="74"/>
      <c r="T1074" s="74"/>
      <c r="U1074" s="74"/>
      <c r="V1074" s="74"/>
      <c r="W1074" s="74"/>
      <c r="X1074" s="74"/>
      <c r="Y1074" s="74"/>
      <c r="Z1074" s="74"/>
      <c r="AA1074" s="74"/>
      <c r="AB1074" s="74"/>
      <c r="AC1074" s="74"/>
      <c r="AD1074" s="74"/>
      <c r="AE1074" s="74"/>
      <c r="AF1074" s="74"/>
      <c r="AG1074" s="74"/>
      <c r="AH1074" s="74"/>
      <c r="AI1074" s="74"/>
      <c r="AJ1074" s="74"/>
      <c r="AK1074" s="74"/>
      <c r="AL1074" s="38"/>
      <c r="AM1074" s="38"/>
      <c r="AN1074" s="75"/>
      <c r="AO1074" s="75"/>
      <c r="AP1074" s="38"/>
      <c r="AQ1074" s="38"/>
      <c r="AR1074" s="38"/>
      <c r="AS1074" s="38"/>
      <c r="AT1074" s="38"/>
      <c r="AU1074" s="38"/>
      <c r="AV1074" s="38"/>
      <c r="AW1074" s="38"/>
      <c r="AX1074" s="38"/>
      <c r="AY1074" s="38"/>
      <c r="AZ1074" s="38"/>
      <c r="BA1074" s="38"/>
      <c r="BB1074" s="38"/>
      <c r="BC1074" s="38"/>
      <c r="BD1074" s="38"/>
      <c r="BE1074" s="38"/>
      <c r="BF1074" s="38"/>
      <c r="BG1074" s="38"/>
      <c r="BH1074" s="38"/>
      <c r="BI1074" s="38"/>
      <c r="BJ1074" s="38"/>
      <c r="BK1074" s="38"/>
      <c r="BL1074" s="38"/>
      <c r="BM1074" s="38"/>
      <c r="BN1074" s="38"/>
      <c r="BO1074" s="38"/>
      <c r="BP1074" s="38"/>
      <c r="BQ1074" s="38"/>
      <c r="BR1074" s="38"/>
      <c r="BS1074" s="38"/>
      <c r="BT1074" s="38"/>
      <c r="BU1074" s="38"/>
      <c r="BV1074" s="38"/>
    </row>
    <row r="1075" ht="14.25" customHeight="1">
      <c r="A1075" s="74"/>
      <c r="B1075" s="38"/>
      <c r="C1075" s="38"/>
      <c r="D1075" s="38"/>
      <c r="E1075" s="74"/>
      <c r="F1075" s="74"/>
      <c r="G1075" s="74"/>
      <c r="H1075" s="74"/>
      <c r="I1075" s="74"/>
      <c r="J1075" s="74"/>
      <c r="K1075" s="74"/>
      <c r="L1075" s="74"/>
      <c r="M1075" s="74"/>
      <c r="N1075" s="74"/>
      <c r="O1075" s="74"/>
      <c r="P1075" s="74"/>
      <c r="Q1075" s="74"/>
      <c r="R1075" s="74"/>
      <c r="S1075" s="74"/>
      <c r="T1075" s="74"/>
      <c r="U1075" s="74"/>
      <c r="V1075" s="74"/>
      <c r="W1075" s="74"/>
      <c r="X1075" s="74"/>
      <c r="Y1075" s="74"/>
      <c r="Z1075" s="74"/>
      <c r="AA1075" s="74"/>
      <c r="AB1075" s="74"/>
      <c r="AC1075" s="74"/>
      <c r="AD1075" s="74"/>
      <c r="AE1075" s="74"/>
      <c r="AF1075" s="74"/>
      <c r="AG1075" s="74"/>
      <c r="AH1075" s="74"/>
      <c r="AI1075" s="74"/>
      <c r="AJ1075" s="74"/>
      <c r="AK1075" s="74"/>
      <c r="AL1075" s="38"/>
      <c r="AM1075" s="38"/>
      <c r="AN1075" s="75"/>
      <c r="AO1075" s="75"/>
      <c r="AP1075" s="38"/>
      <c r="AQ1075" s="38"/>
      <c r="AR1075" s="38"/>
      <c r="AS1075" s="38"/>
      <c r="AT1075" s="38"/>
      <c r="AU1075" s="38"/>
      <c r="AV1075" s="38"/>
      <c r="AW1075" s="38"/>
      <c r="AX1075" s="38"/>
      <c r="AY1075" s="38"/>
      <c r="AZ1075" s="38"/>
      <c r="BA1075" s="38"/>
      <c r="BB1075" s="38"/>
      <c r="BC1075" s="38"/>
      <c r="BD1075" s="38"/>
      <c r="BE1075" s="38"/>
      <c r="BF1075" s="38"/>
      <c r="BG1075" s="38"/>
      <c r="BH1075" s="38"/>
      <c r="BI1075" s="38"/>
      <c r="BJ1075" s="38"/>
      <c r="BK1075" s="38"/>
      <c r="BL1075" s="38"/>
      <c r="BM1075" s="38"/>
      <c r="BN1075" s="38"/>
      <c r="BO1075" s="38"/>
      <c r="BP1075" s="38"/>
      <c r="BQ1075" s="38"/>
      <c r="BR1075" s="38"/>
      <c r="BS1075" s="38"/>
      <c r="BT1075" s="38"/>
      <c r="BU1075" s="38"/>
      <c r="BV1075" s="38"/>
    </row>
    <row r="1076" ht="14.25" customHeight="1">
      <c r="A1076" s="74"/>
      <c r="B1076" s="38"/>
      <c r="C1076" s="38"/>
      <c r="D1076" s="38"/>
      <c r="E1076" s="74"/>
      <c r="F1076" s="74"/>
      <c r="G1076" s="74"/>
      <c r="H1076" s="74"/>
      <c r="I1076" s="74"/>
      <c r="J1076" s="74"/>
      <c r="K1076" s="74"/>
      <c r="L1076" s="74"/>
      <c r="M1076" s="74"/>
      <c r="N1076" s="74"/>
      <c r="O1076" s="74"/>
      <c r="P1076" s="74"/>
      <c r="Q1076" s="74"/>
      <c r="R1076" s="74"/>
      <c r="S1076" s="74"/>
      <c r="T1076" s="74"/>
      <c r="U1076" s="74"/>
      <c r="V1076" s="74"/>
      <c r="W1076" s="74"/>
      <c r="X1076" s="74"/>
      <c r="Y1076" s="74"/>
      <c r="Z1076" s="74"/>
      <c r="AA1076" s="74"/>
      <c r="AB1076" s="74"/>
      <c r="AC1076" s="74"/>
      <c r="AD1076" s="74"/>
      <c r="AE1076" s="74"/>
      <c r="AF1076" s="74"/>
      <c r="AG1076" s="74"/>
      <c r="AH1076" s="74"/>
      <c r="AI1076" s="74"/>
      <c r="AJ1076" s="74"/>
      <c r="AK1076" s="74"/>
      <c r="AL1076" s="38"/>
      <c r="AM1076" s="38"/>
      <c r="AN1076" s="75"/>
      <c r="AO1076" s="75"/>
      <c r="AP1076" s="38"/>
      <c r="AQ1076" s="38"/>
      <c r="AR1076" s="38"/>
      <c r="AS1076" s="38"/>
      <c r="AT1076" s="38"/>
      <c r="AU1076" s="38"/>
      <c r="AV1076" s="38"/>
      <c r="AW1076" s="38"/>
      <c r="AX1076" s="38"/>
      <c r="AY1076" s="38"/>
      <c r="AZ1076" s="38"/>
      <c r="BA1076" s="38"/>
      <c r="BB1076" s="38"/>
      <c r="BC1076" s="38"/>
      <c r="BD1076" s="38"/>
      <c r="BE1076" s="38"/>
      <c r="BF1076" s="38"/>
      <c r="BG1076" s="38"/>
      <c r="BH1076" s="38"/>
      <c r="BI1076" s="38"/>
      <c r="BJ1076" s="38"/>
      <c r="BK1076" s="38"/>
      <c r="BL1076" s="38"/>
      <c r="BM1076" s="38"/>
      <c r="BN1076" s="38"/>
      <c r="BO1076" s="38"/>
      <c r="BP1076" s="38"/>
      <c r="BQ1076" s="38"/>
      <c r="BR1076" s="38"/>
      <c r="BS1076" s="38"/>
      <c r="BT1076" s="38"/>
      <c r="BU1076" s="38"/>
      <c r="BV1076" s="38"/>
    </row>
    <row r="1077" ht="14.25" customHeight="1">
      <c r="A1077" s="74"/>
      <c r="B1077" s="38"/>
      <c r="C1077" s="38"/>
      <c r="D1077" s="38"/>
      <c r="E1077" s="74"/>
      <c r="F1077" s="74"/>
      <c r="G1077" s="74"/>
      <c r="H1077" s="74"/>
      <c r="I1077" s="74"/>
      <c r="J1077" s="74"/>
      <c r="K1077" s="74"/>
      <c r="L1077" s="74"/>
      <c r="M1077" s="74"/>
      <c r="N1077" s="74"/>
      <c r="O1077" s="74"/>
      <c r="P1077" s="74"/>
      <c r="Q1077" s="74"/>
      <c r="R1077" s="74"/>
      <c r="S1077" s="74"/>
      <c r="T1077" s="74"/>
      <c r="U1077" s="74"/>
      <c r="V1077" s="74"/>
      <c r="W1077" s="74"/>
      <c r="X1077" s="74"/>
      <c r="Y1077" s="74"/>
      <c r="Z1077" s="74"/>
      <c r="AA1077" s="74"/>
      <c r="AB1077" s="74"/>
      <c r="AC1077" s="74"/>
      <c r="AD1077" s="74"/>
      <c r="AE1077" s="74"/>
      <c r="AF1077" s="74"/>
      <c r="AG1077" s="74"/>
      <c r="AH1077" s="74"/>
      <c r="AI1077" s="74"/>
      <c r="AJ1077" s="74"/>
      <c r="AK1077" s="74"/>
      <c r="AL1077" s="38"/>
      <c r="AM1077" s="38"/>
      <c r="AN1077" s="75"/>
      <c r="AO1077" s="75"/>
      <c r="AP1077" s="38"/>
      <c r="AQ1077" s="38"/>
      <c r="AR1077" s="38"/>
      <c r="AS1077" s="38"/>
      <c r="AT1077" s="38"/>
      <c r="AU1077" s="38"/>
      <c r="AV1077" s="38"/>
      <c r="AW1077" s="38"/>
      <c r="AX1077" s="38"/>
      <c r="AY1077" s="38"/>
      <c r="AZ1077" s="38"/>
      <c r="BA1077" s="38"/>
      <c r="BB1077" s="38"/>
      <c r="BC1077" s="38"/>
      <c r="BD1077" s="38"/>
      <c r="BE1077" s="38"/>
      <c r="BF1077" s="38"/>
      <c r="BG1077" s="38"/>
      <c r="BH1077" s="38"/>
      <c r="BI1077" s="38"/>
      <c r="BJ1077" s="38"/>
      <c r="BK1077" s="38"/>
      <c r="BL1077" s="38"/>
      <c r="BM1077" s="38"/>
      <c r="BN1077" s="38"/>
      <c r="BO1077" s="38"/>
      <c r="BP1077" s="38"/>
      <c r="BQ1077" s="38"/>
      <c r="BR1077" s="38"/>
      <c r="BS1077" s="38"/>
      <c r="BT1077" s="38"/>
      <c r="BU1077" s="38"/>
      <c r="BV1077" s="38"/>
    </row>
    <row r="1078" ht="14.25" customHeight="1">
      <c r="A1078" s="74"/>
      <c r="B1078" s="38"/>
      <c r="C1078" s="38"/>
      <c r="D1078" s="38"/>
      <c r="E1078" s="74"/>
      <c r="F1078" s="74"/>
      <c r="G1078" s="74"/>
      <c r="H1078" s="74"/>
      <c r="I1078" s="74"/>
      <c r="J1078" s="74"/>
      <c r="K1078" s="74"/>
      <c r="L1078" s="74"/>
      <c r="M1078" s="74"/>
      <c r="N1078" s="74"/>
      <c r="O1078" s="74"/>
      <c r="P1078" s="74"/>
      <c r="Q1078" s="74"/>
      <c r="R1078" s="74"/>
      <c r="S1078" s="74"/>
      <c r="T1078" s="74"/>
      <c r="U1078" s="74"/>
      <c r="V1078" s="74"/>
      <c r="W1078" s="74"/>
      <c r="X1078" s="74"/>
      <c r="Y1078" s="74"/>
      <c r="Z1078" s="74"/>
      <c r="AA1078" s="74"/>
      <c r="AB1078" s="74"/>
      <c r="AC1078" s="74"/>
      <c r="AD1078" s="74"/>
      <c r="AE1078" s="74"/>
      <c r="AF1078" s="74"/>
      <c r="AG1078" s="74"/>
      <c r="AH1078" s="74"/>
      <c r="AI1078" s="74"/>
      <c r="AJ1078" s="74"/>
      <c r="AK1078" s="74"/>
      <c r="AL1078" s="38"/>
      <c r="AM1078" s="38"/>
      <c r="AN1078" s="75"/>
      <c r="AO1078" s="75"/>
      <c r="AP1078" s="38"/>
      <c r="AQ1078" s="38"/>
      <c r="AR1078" s="38"/>
      <c r="AS1078" s="38"/>
      <c r="AT1078" s="38"/>
      <c r="AU1078" s="38"/>
      <c r="AV1078" s="38"/>
      <c r="AW1078" s="38"/>
      <c r="AX1078" s="38"/>
      <c r="AY1078" s="38"/>
      <c r="AZ1078" s="38"/>
      <c r="BA1078" s="38"/>
      <c r="BB1078" s="38"/>
      <c r="BC1078" s="38"/>
      <c r="BD1078" s="38"/>
      <c r="BE1078" s="38"/>
      <c r="BF1078" s="38"/>
      <c r="BG1078" s="38"/>
      <c r="BH1078" s="38"/>
      <c r="BI1078" s="38"/>
      <c r="BJ1078" s="38"/>
      <c r="BK1078" s="38"/>
      <c r="BL1078" s="38"/>
      <c r="BM1078" s="38"/>
      <c r="BN1078" s="38"/>
      <c r="BO1078" s="38"/>
      <c r="BP1078" s="38"/>
      <c r="BQ1078" s="38"/>
      <c r="BR1078" s="38"/>
      <c r="BS1078" s="38"/>
      <c r="BT1078" s="38"/>
      <c r="BU1078" s="38"/>
      <c r="BV1078" s="38"/>
    </row>
    <row r="1079" ht="14.25" customHeight="1">
      <c r="A1079" s="74"/>
      <c r="B1079" s="38"/>
      <c r="C1079" s="38"/>
      <c r="D1079" s="38"/>
      <c r="E1079" s="74"/>
      <c r="F1079" s="74"/>
      <c r="G1079" s="74"/>
      <c r="H1079" s="74"/>
      <c r="I1079" s="74"/>
      <c r="J1079" s="74"/>
      <c r="K1079" s="74"/>
      <c r="L1079" s="74"/>
      <c r="M1079" s="74"/>
      <c r="N1079" s="74"/>
      <c r="O1079" s="74"/>
      <c r="P1079" s="74"/>
      <c r="Q1079" s="74"/>
      <c r="R1079" s="74"/>
      <c r="S1079" s="74"/>
      <c r="T1079" s="74"/>
      <c r="U1079" s="74"/>
      <c r="V1079" s="74"/>
      <c r="W1079" s="74"/>
      <c r="X1079" s="74"/>
      <c r="Y1079" s="74"/>
      <c r="Z1079" s="74"/>
      <c r="AA1079" s="74"/>
      <c r="AB1079" s="74"/>
      <c r="AC1079" s="74"/>
      <c r="AD1079" s="74"/>
      <c r="AE1079" s="74"/>
      <c r="AF1079" s="74"/>
      <c r="AG1079" s="74"/>
      <c r="AH1079" s="74"/>
      <c r="AI1079" s="74"/>
      <c r="AJ1079" s="74"/>
      <c r="AK1079" s="74"/>
      <c r="AL1079" s="38"/>
      <c r="AM1079" s="38"/>
      <c r="AN1079" s="75"/>
      <c r="AO1079" s="75"/>
      <c r="AP1079" s="38"/>
      <c r="AQ1079" s="38"/>
      <c r="AR1079" s="38"/>
      <c r="AS1079" s="38"/>
      <c r="AT1079" s="38"/>
      <c r="AU1079" s="38"/>
      <c r="AV1079" s="38"/>
      <c r="AW1079" s="38"/>
      <c r="AX1079" s="38"/>
      <c r="AY1079" s="38"/>
      <c r="AZ1079" s="38"/>
      <c r="BA1079" s="38"/>
      <c r="BB1079" s="38"/>
      <c r="BC1079" s="38"/>
      <c r="BD1079" s="38"/>
      <c r="BE1079" s="38"/>
      <c r="BF1079" s="38"/>
      <c r="BG1079" s="38"/>
      <c r="BH1079" s="38"/>
      <c r="BI1079" s="38"/>
      <c r="BJ1079" s="38"/>
      <c r="BK1079" s="38"/>
      <c r="BL1079" s="38"/>
      <c r="BM1079" s="38"/>
      <c r="BN1079" s="38"/>
      <c r="BO1079" s="38"/>
      <c r="BP1079" s="38"/>
      <c r="BQ1079" s="38"/>
      <c r="BR1079" s="38"/>
      <c r="BS1079" s="38"/>
      <c r="BT1079" s="38"/>
      <c r="BU1079" s="38"/>
      <c r="BV1079" s="38"/>
    </row>
    <row r="1080" ht="14.25" customHeight="1">
      <c r="A1080" s="74"/>
      <c r="B1080" s="38"/>
      <c r="C1080" s="38"/>
      <c r="D1080" s="38"/>
      <c r="E1080" s="74"/>
      <c r="F1080" s="74"/>
      <c r="G1080" s="74"/>
      <c r="H1080" s="74"/>
      <c r="I1080" s="74"/>
      <c r="J1080" s="74"/>
      <c r="K1080" s="74"/>
      <c r="L1080" s="74"/>
      <c r="M1080" s="74"/>
      <c r="N1080" s="74"/>
      <c r="O1080" s="74"/>
      <c r="P1080" s="74"/>
      <c r="Q1080" s="74"/>
      <c r="R1080" s="74"/>
      <c r="S1080" s="74"/>
      <c r="T1080" s="74"/>
      <c r="U1080" s="74"/>
      <c r="V1080" s="74"/>
      <c r="W1080" s="74"/>
      <c r="X1080" s="74"/>
      <c r="Y1080" s="74"/>
      <c r="Z1080" s="74"/>
      <c r="AA1080" s="74"/>
      <c r="AB1080" s="74"/>
      <c r="AC1080" s="74"/>
      <c r="AD1080" s="74"/>
      <c r="AE1080" s="74"/>
      <c r="AF1080" s="74"/>
      <c r="AG1080" s="74"/>
      <c r="AH1080" s="74"/>
      <c r="AI1080" s="74"/>
      <c r="AJ1080" s="74"/>
      <c r="AK1080" s="74"/>
      <c r="AL1080" s="38"/>
      <c r="AM1080" s="38"/>
      <c r="AN1080" s="75"/>
      <c r="AO1080" s="75"/>
      <c r="AP1080" s="38"/>
      <c r="AQ1080" s="38"/>
      <c r="AR1080" s="38"/>
      <c r="AS1080" s="38"/>
      <c r="AT1080" s="38"/>
      <c r="AU1080" s="38"/>
      <c r="AV1080" s="38"/>
      <c r="AW1080" s="38"/>
      <c r="AX1080" s="38"/>
      <c r="AY1080" s="38"/>
      <c r="AZ1080" s="38"/>
      <c r="BA1080" s="38"/>
      <c r="BB1080" s="38"/>
      <c r="BC1080" s="38"/>
      <c r="BD1080" s="38"/>
      <c r="BE1080" s="38"/>
      <c r="BF1080" s="38"/>
      <c r="BG1080" s="38"/>
      <c r="BH1080" s="38"/>
      <c r="BI1080" s="38"/>
      <c r="BJ1080" s="38"/>
      <c r="BK1080" s="38"/>
      <c r="BL1080" s="38"/>
      <c r="BM1080" s="38"/>
      <c r="BN1080" s="38"/>
      <c r="BO1080" s="38"/>
      <c r="BP1080" s="38"/>
      <c r="BQ1080" s="38"/>
      <c r="BR1080" s="38"/>
      <c r="BS1080" s="38"/>
      <c r="BT1080" s="38"/>
      <c r="BU1080" s="38"/>
      <c r="BV1080" s="38"/>
    </row>
    <row r="1081" ht="14.25" customHeight="1">
      <c r="A1081" s="74"/>
      <c r="B1081" s="38"/>
      <c r="C1081" s="38"/>
      <c r="D1081" s="38"/>
      <c r="E1081" s="74"/>
      <c r="F1081" s="74"/>
      <c r="G1081" s="74"/>
      <c r="H1081" s="74"/>
      <c r="I1081" s="74"/>
      <c r="J1081" s="74"/>
      <c r="K1081" s="74"/>
      <c r="L1081" s="74"/>
      <c r="M1081" s="74"/>
      <c r="N1081" s="74"/>
      <c r="O1081" s="74"/>
      <c r="P1081" s="74"/>
      <c r="Q1081" s="74"/>
      <c r="R1081" s="74"/>
      <c r="S1081" s="74"/>
      <c r="T1081" s="74"/>
      <c r="U1081" s="74"/>
      <c r="V1081" s="74"/>
      <c r="W1081" s="74"/>
      <c r="X1081" s="74"/>
      <c r="Y1081" s="74"/>
      <c r="Z1081" s="74"/>
      <c r="AA1081" s="74"/>
      <c r="AB1081" s="74"/>
      <c r="AC1081" s="74"/>
      <c r="AD1081" s="74"/>
      <c r="AE1081" s="74"/>
      <c r="AF1081" s="74"/>
      <c r="AG1081" s="74"/>
      <c r="AH1081" s="74"/>
      <c r="AI1081" s="74"/>
      <c r="AJ1081" s="74"/>
      <c r="AK1081" s="74"/>
      <c r="AL1081" s="38"/>
      <c r="AM1081" s="38"/>
      <c r="AN1081" s="75"/>
      <c r="AO1081" s="75"/>
      <c r="AP1081" s="38"/>
      <c r="AQ1081" s="38"/>
      <c r="AR1081" s="38"/>
      <c r="AS1081" s="38"/>
      <c r="AT1081" s="38"/>
      <c r="AU1081" s="38"/>
      <c r="AV1081" s="38"/>
      <c r="AW1081" s="38"/>
      <c r="AX1081" s="38"/>
      <c r="AY1081" s="38"/>
      <c r="AZ1081" s="38"/>
      <c r="BA1081" s="38"/>
      <c r="BB1081" s="38"/>
      <c r="BC1081" s="38"/>
      <c r="BD1081" s="38"/>
      <c r="BE1081" s="38"/>
      <c r="BF1081" s="38"/>
      <c r="BG1081" s="38"/>
      <c r="BH1081" s="38"/>
      <c r="BI1081" s="38"/>
      <c r="BJ1081" s="38"/>
      <c r="BK1081" s="38"/>
      <c r="BL1081" s="38"/>
      <c r="BM1081" s="38"/>
      <c r="BN1081" s="38"/>
      <c r="BO1081" s="38"/>
      <c r="BP1081" s="38"/>
      <c r="BQ1081" s="38"/>
      <c r="BR1081" s="38"/>
      <c r="BS1081" s="38"/>
      <c r="BT1081" s="38"/>
      <c r="BU1081" s="38"/>
      <c r="BV1081" s="38"/>
    </row>
    <row r="1082" ht="14.25" customHeight="1">
      <c r="A1082" s="74"/>
      <c r="B1082" s="38"/>
      <c r="C1082" s="38"/>
      <c r="D1082" s="38"/>
      <c r="E1082" s="74"/>
      <c r="F1082" s="74"/>
      <c r="G1082" s="74"/>
      <c r="H1082" s="74"/>
      <c r="I1082" s="74"/>
      <c r="J1082" s="74"/>
      <c r="K1082" s="74"/>
      <c r="L1082" s="74"/>
      <c r="M1082" s="74"/>
      <c r="N1082" s="74"/>
      <c r="O1082" s="74"/>
      <c r="P1082" s="74"/>
      <c r="Q1082" s="74"/>
      <c r="R1082" s="74"/>
      <c r="S1082" s="74"/>
      <c r="T1082" s="74"/>
      <c r="U1082" s="74"/>
      <c r="V1082" s="74"/>
      <c r="W1082" s="74"/>
      <c r="X1082" s="74"/>
      <c r="Y1082" s="74"/>
      <c r="Z1082" s="74"/>
      <c r="AA1082" s="74"/>
      <c r="AB1082" s="74"/>
      <c r="AC1082" s="74"/>
      <c r="AD1082" s="74"/>
      <c r="AE1082" s="74"/>
      <c r="AF1082" s="74"/>
      <c r="AG1082" s="74"/>
      <c r="AH1082" s="74"/>
      <c r="AI1082" s="74"/>
      <c r="AJ1082" s="74"/>
      <c r="AK1082" s="74"/>
      <c r="AL1082" s="38"/>
      <c r="AM1082" s="38"/>
      <c r="AN1082" s="75"/>
      <c r="AO1082" s="75"/>
      <c r="AP1082" s="38"/>
      <c r="AQ1082" s="38"/>
      <c r="AR1082" s="38"/>
      <c r="AS1082" s="38"/>
      <c r="AT1082" s="38"/>
      <c r="AU1082" s="38"/>
      <c r="AV1082" s="38"/>
      <c r="AW1082" s="38"/>
      <c r="AX1082" s="38"/>
      <c r="AY1082" s="38"/>
      <c r="AZ1082" s="38"/>
      <c r="BA1082" s="38"/>
      <c r="BB1082" s="38"/>
      <c r="BC1082" s="38"/>
      <c r="BD1082" s="38"/>
      <c r="BE1082" s="38"/>
      <c r="BF1082" s="38"/>
      <c r="BG1082" s="38"/>
      <c r="BH1082" s="38"/>
      <c r="BI1082" s="38"/>
      <c r="BJ1082" s="38"/>
      <c r="BK1082" s="38"/>
      <c r="BL1082" s="38"/>
      <c r="BM1082" s="38"/>
      <c r="BN1082" s="38"/>
      <c r="BO1082" s="38"/>
      <c r="BP1082" s="38"/>
      <c r="BQ1082" s="38"/>
      <c r="BR1082" s="38"/>
      <c r="BS1082" s="38"/>
      <c r="BT1082" s="38"/>
      <c r="BU1082" s="38"/>
      <c r="BV1082" s="38"/>
    </row>
    <row r="1083" ht="14.25" customHeight="1">
      <c r="A1083" s="74"/>
      <c r="B1083" s="38"/>
      <c r="C1083" s="38"/>
      <c r="D1083" s="38"/>
      <c r="E1083" s="74"/>
      <c r="F1083" s="74"/>
      <c r="G1083" s="74"/>
      <c r="H1083" s="74"/>
      <c r="I1083" s="74"/>
      <c r="J1083" s="74"/>
      <c r="K1083" s="74"/>
      <c r="L1083" s="74"/>
      <c r="M1083" s="74"/>
      <c r="N1083" s="74"/>
      <c r="O1083" s="74"/>
      <c r="P1083" s="74"/>
      <c r="Q1083" s="74"/>
      <c r="R1083" s="74"/>
      <c r="S1083" s="74"/>
      <c r="T1083" s="74"/>
      <c r="U1083" s="74"/>
      <c r="V1083" s="74"/>
      <c r="W1083" s="74"/>
      <c r="X1083" s="74"/>
      <c r="Y1083" s="74"/>
      <c r="Z1083" s="74"/>
      <c r="AA1083" s="74"/>
      <c r="AB1083" s="74"/>
      <c r="AC1083" s="74"/>
      <c r="AD1083" s="74"/>
      <c r="AE1083" s="74"/>
      <c r="AF1083" s="74"/>
      <c r="AG1083" s="74"/>
      <c r="AH1083" s="74"/>
      <c r="AI1083" s="74"/>
      <c r="AJ1083" s="74"/>
      <c r="AK1083" s="74"/>
      <c r="AL1083" s="38"/>
      <c r="AM1083" s="38"/>
      <c r="AN1083" s="75"/>
      <c r="AO1083" s="75"/>
      <c r="AP1083" s="38"/>
      <c r="AQ1083" s="38"/>
      <c r="AR1083" s="38"/>
      <c r="AS1083" s="38"/>
      <c r="AT1083" s="38"/>
      <c r="AU1083" s="38"/>
      <c r="AV1083" s="38"/>
      <c r="AW1083" s="38"/>
      <c r="AX1083" s="38"/>
      <c r="AY1083" s="38"/>
      <c r="AZ1083" s="38"/>
      <c r="BA1083" s="38"/>
      <c r="BB1083" s="38"/>
      <c r="BC1083" s="38"/>
      <c r="BD1083" s="38"/>
      <c r="BE1083" s="38"/>
      <c r="BF1083" s="38"/>
      <c r="BG1083" s="38"/>
      <c r="BH1083" s="38"/>
      <c r="BI1083" s="38"/>
      <c r="BJ1083" s="38"/>
      <c r="BK1083" s="38"/>
      <c r="BL1083" s="38"/>
      <c r="BM1083" s="38"/>
      <c r="BN1083" s="38"/>
      <c r="BO1083" s="38"/>
      <c r="BP1083" s="38"/>
      <c r="BQ1083" s="38"/>
      <c r="BR1083" s="38"/>
      <c r="BS1083" s="38"/>
      <c r="BT1083" s="38"/>
      <c r="BU1083" s="38"/>
      <c r="BV1083" s="38"/>
    </row>
    <row r="1084" ht="14.25" customHeight="1">
      <c r="A1084" s="74"/>
      <c r="B1084" s="38"/>
      <c r="C1084" s="38"/>
      <c r="D1084" s="38"/>
      <c r="E1084" s="74"/>
      <c r="F1084" s="74"/>
      <c r="G1084" s="74"/>
      <c r="H1084" s="74"/>
      <c r="I1084" s="74"/>
      <c r="J1084" s="74"/>
      <c r="K1084" s="74"/>
      <c r="L1084" s="74"/>
      <c r="M1084" s="74"/>
      <c r="N1084" s="74"/>
      <c r="O1084" s="74"/>
      <c r="P1084" s="74"/>
      <c r="Q1084" s="74"/>
      <c r="R1084" s="74"/>
      <c r="S1084" s="74"/>
      <c r="T1084" s="74"/>
      <c r="U1084" s="74"/>
      <c r="V1084" s="74"/>
      <c r="W1084" s="74"/>
      <c r="X1084" s="74"/>
      <c r="Y1084" s="74"/>
      <c r="Z1084" s="74"/>
      <c r="AA1084" s="74"/>
      <c r="AB1084" s="74"/>
      <c r="AC1084" s="74"/>
      <c r="AD1084" s="74"/>
      <c r="AE1084" s="74"/>
      <c r="AF1084" s="74"/>
      <c r="AG1084" s="74"/>
      <c r="AH1084" s="74"/>
      <c r="AI1084" s="74"/>
      <c r="AJ1084" s="74"/>
      <c r="AK1084" s="74"/>
      <c r="AL1084" s="38"/>
      <c r="AM1084" s="38"/>
      <c r="AN1084" s="75"/>
      <c r="AO1084" s="75"/>
      <c r="AP1084" s="38"/>
      <c r="AQ1084" s="38"/>
      <c r="AR1084" s="38"/>
      <c r="AS1084" s="38"/>
      <c r="AT1084" s="38"/>
      <c r="AU1084" s="38"/>
      <c r="AV1084" s="38"/>
      <c r="AW1084" s="38"/>
      <c r="AX1084" s="38"/>
      <c r="AY1084" s="38"/>
      <c r="AZ1084" s="38"/>
      <c r="BA1084" s="38"/>
      <c r="BB1084" s="38"/>
      <c r="BC1084" s="38"/>
      <c r="BD1084" s="38"/>
      <c r="BE1084" s="38"/>
      <c r="BF1084" s="38"/>
      <c r="BG1084" s="38"/>
      <c r="BH1084" s="38"/>
      <c r="BI1084" s="38"/>
      <c r="BJ1084" s="38"/>
      <c r="BK1084" s="38"/>
      <c r="BL1084" s="38"/>
      <c r="BM1084" s="38"/>
      <c r="BN1084" s="38"/>
      <c r="BO1084" s="38"/>
      <c r="BP1084" s="38"/>
      <c r="BQ1084" s="38"/>
      <c r="BR1084" s="38"/>
      <c r="BS1084" s="38"/>
      <c r="BT1084" s="38"/>
      <c r="BU1084" s="38"/>
      <c r="BV1084" s="38"/>
    </row>
    <row r="1085" ht="14.25" customHeight="1">
      <c r="A1085" s="74"/>
      <c r="B1085" s="38"/>
      <c r="C1085" s="38"/>
      <c r="D1085" s="38"/>
      <c r="E1085" s="74"/>
      <c r="F1085" s="74"/>
      <c r="G1085" s="74"/>
      <c r="H1085" s="74"/>
      <c r="I1085" s="74"/>
      <c r="J1085" s="74"/>
      <c r="K1085" s="74"/>
      <c r="L1085" s="74"/>
      <c r="M1085" s="74"/>
      <c r="N1085" s="74"/>
      <c r="O1085" s="74"/>
      <c r="P1085" s="74"/>
      <c r="Q1085" s="74"/>
      <c r="R1085" s="74"/>
      <c r="S1085" s="74"/>
      <c r="T1085" s="74"/>
      <c r="U1085" s="74"/>
      <c r="V1085" s="74"/>
      <c r="W1085" s="74"/>
      <c r="X1085" s="74"/>
      <c r="Y1085" s="74"/>
      <c r="Z1085" s="74"/>
      <c r="AA1085" s="74"/>
      <c r="AB1085" s="74"/>
      <c r="AC1085" s="74"/>
      <c r="AD1085" s="74"/>
      <c r="AE1085" s="74"/>
      <c r="AF1085" s="74"/>
      <c r="AG1085" s="74"/>
      <c r="AH1085" s="74"/>
      <c r="AI1085" s="74"/>
      <c r="AJ1085" s="74"/>
      <c r="AK1085" s="74"/>
      <c r="AL1085" s="38"/>
      <c r="AM1085" s="38"/>
      <c r="AN1085" s="75"/>
      <c r="AO1085" s="75"/>
      <c r="AP1085" s="38"/>
      <c r="AQ1085" s="38"/>
      <c r="AR1085" s="38"/>
      <c r="AS1085" s="38"/>
      <c r="AT1085" s="38"/>
      <c r="AU1085" s="38"/>
      <c r="AV1085" s="38"/>
      <c r="AW1085" s="38"/>
      <c r="AX1085" s="38"/>
      <c r="AY1085" s="38"/>
      <c r="AZ1085" s="38"/>
      <c r="BA1085" s="38"/>
      <c r="BB1085" s="38"/>
      <c r="BC1085" s="38"/>
      <c r="BD1085" s="38"/>
      <c r="BE1085" s="38"/>
      <c r="BF1085" s="38"/>
      <c r="BG1085" s="38"/>
      <c r="BH1085" s="38"/>
      <c r="BI1085" s="38"/>
      <c r="BJ1085" s="38"/>
      <c r="BK1085" s="38"/>
      <c r="BL1085" s="38"/>
      <c r="BM1085" s="38"/>
      <c r="BN1085" s="38"/>
      <c r="BO1085" s="38"/>
      <c r="BP1085" s="38"/>
      <c r="BQ1085" s="38"/>
      <c r="BR1085" s="38"/>
      <c r="BS1085" s="38"/>
      <c r="BT1085" s="38"/>
      <c r="BU1085" s="38"/>
      <c r="BV1085" s="38"/>
    </row>
    <row r="1086" ht="14.25" customHeight="1">
      <c r="A1086" s="74"/>
      <c r="B1086" s="38"/>
      <c r="C1086" s="38"/>
      <c r="D1086" s="38"/>
      <c r="E1086" s="74"/>
      <c r="F1086" s="74"/>
      <c r="G1086" s="74"/>
      <c r="H1086" s="74"/>
      <c r="I1086" s="74"/>
      <c r="J1086" s="74"/>
      <c r="K1086" s="74"/>
      <c r="L1086" s="74"/>
      <c r="M1086" s="74"/>
      <c r="N1086" s="74"/>
      <c r="O1086" s="74"/>
      <c r="P1086" s="74"/>
      <c r="Q1086" s="74"/>
      <c r="R1086" s="74"/>
      <c r="S1086" s="74"/>
      <c r="T1086" s="74"/>
      <c r="U1086" s="74"/>
      <c r="V1086" s="74"/>
      <c r="W1086" s="74"/>
      <c r="X1086" s="74"/>
      <c r="Y1086" s="74"/>
      <c r="Z1086" s="74"/>
      <c r="AA1086" s="74"/>
      <c r="AB1086" s="74"/>
      <c r="AC1086" s="74"/>
      <c r="AD1086" s="74"/>
      <c r="AE1086" s="74"/>
      <c r="AF1086" s="74"/>
      <c r="AG1086" s="74"/>
      <c r="AH1086" s="74"/>
      <c r="AI1086" s="74"/>
      <c r="AJ1086" s="74"/>
      <c r="AK1086" s="74"/>
      <c r="AL1086" s="38"/>
      <c r="AM1086" s="38"/>
      <c r="AN1086" s="75"/>
      <c r="AO1086" s="75"/>
      <c r="AP1086" s="38"/>
      <c r="AQ1086" s="38"/>
      <c r="AR1086" s="38"/>
      <c r="AS1086" s="38"/>
      <c r="AT1086" s="38"/>
      <c r="AU1086" s="38"/>
      <c r="AV1086" s="38"/>
      <c r="AW1086" s="38"/>
      <c r="AX1086" s="38"/>
      <c r="AY1086" s="38"/>
      <c r="AZ1086" s="38"/>
      <c r="BA1086" s="38"/>
      <c r="BB1086" s="38"/>
      <c r="BC1086" s="38"/>
      <c r="BD1086" s="38"/>
      <c r="BE1086" s="38"/>
      <c r="BF1086" s="38"/>
      <c r="BG1086" s="38"/>
      <c r="BH1086" s="38"/>
      <c r="BI1086" s="38"/>
      <c r="BJ1086" s="38"/>
      <c r="BK1086" s="38"/>
      <c r="BL1086" s="38"/>
      <c r="BM1086" s="38"/>
      <c r="BN1086" s="38"/>
      <c r="BO1086" s="38"/>
      <c r="BP1086" s="38"/>
      <c r="BQ1086" s="38"/>
      <c r="BR1086" s="38"/>
      <c r="BS1086" s="38"/>
      <c r="BT1086" s="38"/>
      <c r="BU1086" s="38"/>
      <c r="BV1086" s="38"/>
    </row>
    <row r="1087" ht="14.25" customHeight="1">
      <c r="A1087" s="74"/>
      <c r="B1087" s="38"/>
      <c r="C1087" s="38"/>
      <c r="D1087" s="38"/>
      <c r="E1087" s="74"/>
      <c r="F1087" s="74"/>
      <c r="G1087" s="74"/>
      <c r="H1087" s="74"/>
      <c r="I1087" s="74"/>
      <c r="J1087" s="74"/>
      <c r="K1087" s="74"/>
      <c r="L1087" s="74"/>
      <c r="M1087" s="74"/>
      <c r="N1087" s="74"/>
      <c r="O1087" s="74"/>
      <c r="P1087" s="74"/>
      <c r="Q1087" s="74"/>
      <c r="R1087" s="74"/>
      <c r="S1087" s="74"/>
      <c r="T1087" s="74"/>
      <c r="U1087" s="74"/>
      <c r="V1087" s="74"/>
      <c r="W1087" s="74"/>
      <c r="X1087" s="74"/>
      <c r="Y1087" s="74"/>
      <c r="Z1087" s="74"/>
      <c r="AA1087" s="74"/>
      <c r="AB1087" s="74"/>
      <c r="AC1087" s="74"/>
      <c r="AD1087" s="74"/>
      <c r="AE1087" s="74"/>
      <c r="AF1087" s="74"/>
      <c r="AG1087" s="74"/>
      <c r="AH1087" s="74"/>
      <c r="AI1087" s="74"/>
      <c r="AJ1087" s="74"/>
      <c r="AK1087" s="74"/>
      <c r="AL1087" s="38"/>
      <c r="AM1087" s="38"/>
      <c r="AN1087" s="75"/>
      <c r="AO1087" s="75"/>
      <c r="AP1087" s="38"/>
      <c r="AQ1087" s="38"/>
      <c r="AR1087" s="38"/>
      <c r="AS1087" s="38"/>
      <c r="AT1087" s="38"/>
      <c r="AU1087" s="38"/>
      <c r="AV1087" s="38"/>
      <c r="AW1087" s="38"/>
      <c r="AX1087" s="38"/>
      <c r="AY1087" s="38"/>
      <c r="AZ1087" s="38"/>
      <c r="BA1087" s="38"/>
      <c r="BB1087" s="38"/>
      <c r="BC1087" s="38"/>
      <c r="BD1087" s="38"/>
      <c r="BE1087" s="38"/>
      <c r="BF1087" s="38"/>
      <c r="BG1087" s="38"/>
      <c r="BH1087" s="38"/>
      <c r="BI1087" s="38"/>
      <c r="BJ1087" s="38"/>
      <c r="BK1087" s="38"/>
      <c r="BL1087" s="38"/>
      <c r="BM1087" s="38"/>
      <c r="BN1087" s="38"/>
      <c r="BO1087" s="38"/>
      <c r="BP1087" s="38"/>
      <c r="BQ1087" s="38"/>
      <c r="BR1087" s="38"/>
      <c r="BS1087" s="38"/>
      <c r="BT1087" s="38"/>
      <c r="BU1087" s="38"/>
      <c r="BV1087" s="38"/>
    </row>
    <row r="1088" ht="14.25" customHeight="1">
      <c r="A1088" s="74"/>
      <c r="B1088" s="38"/>
      <c r="C1088" s="38"/>
      <c r="D1088" s="38"/>
      <c r="E1088" s="74"/>
      <c r="F1088" s="74"/>
      <c r="G1088" s="74"/>
      <c r="H1088" s="74"/>
      <c r="I1088" s="74"/>
      <c r="J1088" s="74"/>
      <c r="K1088" s="74"/>
      <c r="L1088" s="74"/>
      <c r="M1088" s="74"/>
      <c r="N1088" s="74"/>
      <c r="O1088" s="74"/>
      <c r="P1088" s="74"/>
      <c r="Q1088" s="74"/>
      <c r="R1088" s="74"/>
      <c r="S1088" s="74"/>
      <c r="T1088" s="74"/>
      <c r="U1088" s="74"/>
      <c r="V1088" s="74"/>
      <c r="W1088" s="74"/>
      <c r="X1088" s="74"/>
      <c r="Y1088" s="74"/>
      <c r="Z1088" s="74"/>
      <c r="AA1088" s="74"/>
      <c r="AB1088" s="74"/>
      <c r="AC1088" s="74"/>
      <c r="AD1088" s="74"/>
      <c r="AE1088" s="74"/>
      <c r="AF1088" s="74"/>
      <c r="AG1088" s="74"/>
      <c r="AH1088" s="74"/>
      <c r="AI1088" s="74"/>
      <c r="AJ1088" s="74"/>
      <c r="AK1088" s="74"/>
      <c r="AL1088" s="38"/>
      <c r="AM1088" s="38"/>
      <c r="AN1088" s="75"/>
      <c r="AO1088" s="75"/>
      <c r="AP1088" s="38"/>
      <c r="AQ1088" s="38"/>
      <c r="AR1088" s="38"/>
      <c r="AS1088" s="38"/>
      <c r="AT1088" s="38"/>
      <c r="AU1088" s="38"/>
      <c r="AV1088" s="38"/>
      <c r="AW1088" s="38"/>
      <c r="AX1088" s="38"/>
      <c r="AY1088" s="38"/>
      <c r="AZ1088" s="38"/>
      <c r="BA1088" s="38"/>
      <c r="BB1088" s="38"/>
      <c r="BC1088" s="38"/>
      <c r="BD1088" s="38"/>
      <c r="BE1088" s="38"/>
      <c r="BF1088" s="38"/>
      <c r="BG1088" s="38"/>
      <c r="BH1088" s="38"/>
      <c r="BI1088" s="38"/>
      <c r="BJ1088" s="38"/>
      <c r="BK1088" s="38"/>
      <c r="BL1088" s="38"/>
      <c r="BM1088" s="38"/>
      <c r="BN1088" s="38"/>
      <c r="BO1088" s="38"/>
      <c r="BP1088" s="38"/>
      <c r="BQ1088" s="38"/>
      <c r="BR1088" s="38"/>
      <c r="BS1088" s="38"/>
      <c r="BT1088" s="38"/>
      <c r="BU1088" s="38"/>
      <c r="BV1088" s="38"/>
    </row>
    <row r="1089" ht="14.25" customHeight="1">
      <c r="A1089" s="74"/>
      <c r="B1089" s="38"/>
      <c r="C1089" s="38"/>
      <c r="D1089" s="38"/>
      <c r="E1089" s="74"/>
      <c r="F1089" s="74"/>
      <c r="G1089" s="74"/>
      <c r="H1089" s="74"/>
      <c r="I1089" s="74"/>
      <c r="J1089" s="74"/>
      <c r="K1089" s="74"/>
      <c r="L1089" s="74"/>
      <c r="M1089" s="74"/>
      <c r="N1089" s="74"/>
      <c r="O1089" s="74"/>
      <c r="P1089" s="74"/>
      <c r="Q1089" s="74"/>
      <c r="R1089" s="74"/>
      <c r="S1089" s="74"/>
      <c r="T1089" s="74"/>
      <c r="U1089" s="74"/>
      <c r="V1089" s="74"/>
      <c r="W1089" s="74"/>
      <c r="X1089" s="74"/>
      <c r="Y1089" s="74"/>
      <c r="Z1089" s="74"/>
      <c r="AA1089" s="74"/>
      <c r="AB1089" s="74"/>
      <c r="AC1089" s="74"/>
      <c r="AD1089" s="74"/>
      <c r="AE1089" s="74"/>
      <c r="AF1089" s="74"/>
      <c r="AG1089" s="74"/>
      <c r="AH1089" s="74"/>
      <c r="AI1089" s="74"/>
      <c r="AJ1089" s="74"/>
      <c r="AK1089" s="74"/>
      <c r="AL1089" s="38"/>
      <c r="AM1089" s="38"/>
      <c r="AN1089" s="75"/>
      <c r="AO1089" s="75"/>
      <c r="AP1089" s="38"/>
      <c r="AQ1089" s="38"/>
      <c r="AR1089" s="38"/>
      <c r="AS1089" s="38"/>
      <c r="AT1089" s="38"/>
      <c r="AU1089" s="38"/>
      <c r="AV1089" s="38"/>
      <c r="AW1089" s="38"/>
      <c r="AX1089" s="38"/>
      <c r="AY1089" s="38"/>
      <c r="AZ1089" s="38"/>
      <c r="BA1089" s="38"/>
      <c r="BB1089" s="38"/>
      <c r="BC1089" s="38"/>
      <c r="BD1089" s="38"/>
      <c r="BE1089" s="38"/>
      <c r="BF1089" s="38"/>
      <c r="BG1089" s="38"/>
      <c r="BH1089" s="38"/>
      <c r="BI1089" s="38"/>
      <c r="BJ1089" s="38"/>
      <c r="BK1089" s="38"/>
      <c r="BL1089" s="38"/>
      <c r="BM1089" s="38"/>
      <c r="BN1089" s="38"/>
      <c r="BO1089" s="38"/>
      <c r="BP1089" s="38"/>
      <c r="BQ1089" s="38"/>
      <c r="BR1089" s="38"/>
      <c r="BS1089" s="38"/>
      <c r="BT1089" s="38"/>
      <c r="BU1089" s="38"/>
      <c r="BV1089" s="38"/>
    </row>
    <row r="1090" ht="14.25" customHeight="1">
      <c r="A1090" s="74"/>
      <c r="B1090" s="38"/>
      <c r="C1090" s="38"/>
      <c r="D1090" s="38"/>
      <c r="E1090" s="74"/>
      <c r="F1090" s="74"/>
      <c r="G1090" s="74"/>
      <c r="H1090" s="74"/>
      <c r="I1090" s="74"/>
      <c r="J1090" s="74"/>
      <c r="K1090" s="74"/>
      <c r="L1090" s="74"/>
      <c r="M1090" s="74"/>
      <c r="N1090" s="74"/>
      <c r="O1090" s="74"/>
      <c r="P1090" s="74"/>
      <c r="Q1090" s="74"/>
      <c r="R1090" s="74"/>
      <c r="S1090" s="74"/>
      <c r="T1090" s="74"/>
      <c r="U1090" s="74"/>
      <c r="V1090" s="74"/>
      <c r="W1090" s="74"/>
      <c r="X1090" s="74"/>
      <c r="Y1090" s="74"/>
      <c r="Z1090" s="74"/>
      <c r="AA1090" s="74"/>
      <c r="AB1090" s="74"/>
      <c r="AC1090" s="74"/>
      <c r="AD1090" s="74"/>
      <c r="AE1090" s="74"/>
      <c r="AF1090" s="74"/>
      <c r="AG1090" s="74"/>
      <c r="AH1090" s="74"/>
      <c r="AI1090" s="74"/>
      <c r="AJ1090" s="74"/>
      <c r="AK1090" s="74"/>
      <c r="AL1090" s="38"/>
      <c r="AM1090" s="38"/>
      <c r="AN1090" s="75"/>
      <c r="AO1090" s="75"/>
      <c r="AP1090" s="38"/>
      <c r="AQ1090" s="38"/>
      <c r="AR1090" s="38"/>
      <c r="AS1090" s="38"/>
      <c r="AT1090" s="38"/>
      <c r="AU1090" s="38"/>
      <c r="AV1090" s="38"/>
      <c r="AW1090" s="38"/>
      <c r="AX1090" s="38"/>
      <c r="AY1090" s="38"/>
      <c r="AZ1090" s="38"/>
      <c r="BA1090" s="38"/>
      <c r="BB1090" s="38"/>
      <c r="BC1090" s="38"/>
      <c r="BD1090" s="38"/>
      <c r="BE1090" s="38"/>
      <c r="BF1090" s="38"/>
      <c r="BG1090" s="38"/>
      <c r="BH1090" s="38"/>
      <c r="BI1090" s="38"/>
      <c r="BJ1090" s="38"/>
      <c r="BK1090" s="38"/>
      <c r="BL1090" s="38"/>
      <c r="BM1090" s="38"/>
      <c r="BN1090" s="38"/>
      <c r="BO1090" s="38"/>
      <c r="BP1090" s="38"/>
      <c r="BQ1090" s="38"/>
      <c r="BR1090" s="38"/>
      <c r="BS1090" s="38"/>
      <c r="BT1090" s="38"/>
      <c r="BU1090" s="38"/>
      <c r="BV1090" s="38"/>
    </row>
    <row r="1091" ht="14.25" customHeight="1">
      <c r="A1091" s="74"/>
      <c r="B1091" s="38"/>
      <c r="C1091" s="38"/>
      <c r="D1091" s="38"/>
      <c r="E1091" s="74"/>
      <c r="F1091" s="74"/>
      <c r="G1091" s="74"/>
      <c r="H1091" s="74"/>
      <c r="I1091" s="74"/>
      <c r="J1091" s="74"/>
      <c r="K1091" s="74"/>
      <c r="L1091" s="74"/>
      <c r="M1091" s="74"/>
      <c r="N1091" s="74"/>
      <c r="O1091" s="74"/>
      <c r="P1091" s="74"/>
      <c r="Q1091" s="74"/>
      <c r="R1091" s="74"/>
      <c r="S1091" s="74"/>
      <c r="T1091" s="74"/>
      <c r="U1091" s="74"/>
      <c r="V1091" s="74"/>
      <c r="W1091" s="74"/>
      <c r="X1091" s="74"/>
      <c r="Y1091" s="74"/>
      <c r="Z1091" s="74"/>
      <c r="AA1091" s="74"/>
      <c r="AB1091" s="74"/>
      <c r="AC1091" s="74"/>
      <c r="AD1091" s="74"/>
      <c r="AE1091" s="74"/>
      <c r="AF1091" s="74"/>
      <c r="AG1091" s="74"/>
      <c r="AH1091" s="74"/>
      <c r="AI1091" s="74"/>
      <c r="AJ1091" s="74"/>
      <c r="AK1091" s="74"/>
      <c r="AL1091" s="38"/>
      <c r="AM1091" s="38"/>
      <c r="AN1091" s="75"/>
      <c r="AO1091" s="75"/>
      <c r="AP1091" s="38"/>
      <c r="AQ1091" s="38"/>
      <c r="AR1091" s="38"/>
      <c r="AS1091" s="38"/>
      <c r="AT1091" s="38"/>
      <c r="AU1091" s="38"/>
      <c r="AV1091" s="38"/>
      <c r="AW1091" s="38"/>
      <c r="AX1091" s="38"/>
      <c r="AY1091" s="38"/>
      <c r="AZ1091" s="38"/>
      <c r="BA1091" s="38"/>
      <c r="BB1091" s="38"/>
      <c r="BC1091" s="38"/>
      <c r="BD1091" s="38"/>
      <c r="BE1091" s="38"/>
      <c r="BF1091" s="38"/>
      <c r="BG1091" s="38"/>
      <c r="BH1091" s="38"/>
      <c r="BI1091" s="38"/>
      <c r="BJ1091" s="38"/>
      <c r="BK1091" s="38"/>
      <c r="BL1091" s="38"/>
      <c r="BM1091" s="38"/>
      <c r="BN1091" s="38"/>
      <c r="BO1091" s="38"/>
      <c r="BP1091" s="38"/>
      <c r="BQ1091" s="38"/>
      <c r="BR1091" s="38"/>
      <c r="BS1091" s="38"/>
      <c r="BT1091" s="38"/>
      <c r="BU1091" s="38"/>
      <c r="BV1091" s="38"/>
    </row>
    <row r="1092" ht="14.25" customHeight="1">
      <c r="A1092" s="74"/>
      <c r="B1092" s="38"/>
      <c r="C1092" s="38"/>
      <c r="D1092" s="38"/>
      <c r="E1092" s="74"/>
      <c r="F1092" s="74"/>
      <c r="G1092" s="74"/>
      <c r="H1092" s="74"/>
      <c r="I1092" s="74"/>
      <c r="J1092" s="74"/>
      <c r="K1092" s="74"/>
      <c r="L1092" s="74"/>
      <c r="M1092" s="74"/>
      <c r="N1092" s="74"/>
      <c r="O1092" s="74"/>
      <c r="P1092" s="74"/>
      <c r="Q1092" s="74"/>
      <c r="R1092" s="74"/>
      <c r="S1092" s="74"/>
      <c r="T1092" s="74"/>
      <c r="U1092" s="74"/>
      <c r="V1092" s="74"/>
      <c r="W1092" s="74"/>
      <c r="X1092" s="74"/>
      <c r="Y1092" s="74"/>
      <c r="Z1092" s="74"/>
      <c r="AA1092" s="74"/>
      <c r="AB1092" s="74"/>
      <c r="AC1092" s="74"/>
      <c r="AD1092" s="74"/>
      <c r="AE1092" s="74"/>
      <c r="AF1092" s="74"/>
      <c r="AG1092" s="74"/>
      <c r="AH1092" s="74"/>
      <c r="AI1092" s="74"/>
      <c r="AJ1092" s="74"/>
      <c r="AK1092" s="74"/>
      <c r="AL1092" s="38"/>
      <c r="AM1092" s="38"/>
      <c r="AN1092" s="75"/>
      <c r="AO1092" s="75"/>
      <c r="AP1092" s="38"/>
      <c r="AQ1092" s="38"/>
      <c r="AR1092" s="38"/>
      <c r="AS1092" s="38"/>
      <c r="AT1092" s="38"/>
      <c r="AU1092" s="38"/>
      <c r="AV1092" s="38"/>
      <c r="AW1092" s="38"/>
      <c r="AX1092" s="38"/>
      <c r="AY1092" s="38"/>
      <c r="AZ1092" s="38"/>
      <c r="BA1092" s="38"/>
      <c r="BB1092" s="38"/>
      <c r="BC1092" s="38"/>
      <c r="BD1092" s="38"/>
      <c r="BE1092" s="38"/>
      <c r="BF1092" s="38"/>
      <c r="BG1092" s="38"/>
      <c r="BH1092" s="38"/>
      <c r="BI1092" s="38"/>
      <c r="BJ1092" s="38"/>
      <c r="BK1092" s="38"/>
      <c r="BL1092" s="38"/>
      <c r="BM1092" s="38"/>
      <c r="BN1092" s="38"/>
      <c r="BO1092" s="38"/>
      <c r="BP1092" s="38"/>
      <c r="BQ1092" s="38"/>
      <c r="BR1092" s="38"/>
      <c r="BS1092" s="38"/>
      <c r="BT1092" s="38"/>
      <c r="BU1092" s="38"/>
      <c r="BV1092" s="38"/>
    </row>
    <row r="1093" ht="14.25" customHeight="1">
      <c r="A1093" s="74"/>
      <c r="B1093" s="38"/>
      <c r="C1093" s="38"/>
      <c r="D1093" s="38"/>
      <c r="E1093" s="74"/>
      <c r="F1093" s="74"/>
      <c r="G1093" s="74"/>
      <c r="H1093" s="74"/>
      <c r="I1093" s="74"/>
      <c r="J1093" s="74"/>
      <c r="K1093" s="74"/>
      <c r="L1093" s="74"/>
      <c r="M1093" s="74"/>
      <c r="N1093" s="74"/>
      <c r="O1093" s="74"/>
      <c r="P1093" s="74"/>
      <c r="Q1093" s="74"/>
      <c r="R1093" s="74"/>
      <c r="S1093" s="74"/>
      <c r="T1093" s="74"/>
      <c r="U1093" s="74"/>
      <c r="V1093" s="74"/>
      <c r="W1093" s="74"/>
      <c r="X1093" s="74"/>
      <c r="Y1093" s="74"/>
      <c r="Z1093" s="74"/>
      <c r="AA1093" s="74"/>
      <c r="AB1093" s="74"/>
      <c r="AC1093" s="74"/>
      <c r="AD1093" s="74"/>
      <c r="AE1093" s="74"/>
      <c r="AF1093" s="74"/>
      <c r="AG1093" s="74"/>
      <c r="AH1093" s="74"/>
      <c r="AI1093" s="74"/>
      <c r="AJ1093" s="74"/>
      <c r="AK1093" s="74"/>
      <c r="AL1093" s="38"/>
      <c r="AM1093" s="38"/>
      <c r="AN1093" s="75"/>
      <c r="AO1093" s="75"/>
      <c r="AP1093" s="38"/>
      <c r="AQ1093" s="38"/>
      <c r="AR1093" s="38"/>
      <c r="AS1093" s="38"/>
      <c r="AT1093" s="38"/>
      <c r="AU1093" s="38"/>
      <c r="AV1093" s="38"/>
      <c r="AW1093" s="38"/>
      <c r="AX1093" s="38"/>
      <c r="AY1093" s="38"/>
      <c r="AZ1093" s="38"/>
      <c r="BA1093" s="38"/>
      <c r="BB1093" s="38"/>
      <c r="BC1093" s="38"/>
      <c r="BD1093" s="38"/>
      <c r="BE1093" s="38"/>
      <c r="BF1093" s="38"/>
      <c r="BG1093" s="38"/>
      <c r="BH1093" s="38"/>
      <c r="BI1093" s="38"/>
      <c r="BJ1093" s="38"/>
      <c r="BK1093" s="38"/>
      <c r="BL1093" s="38"/>
      <c r="BM1093" s="38"/>
      <c r="BN1093" s="38"/>
      <c r="BO1093" s="38"/>
      <c r="BP1093" s="38"/>
      <c r="BQ1093" s="38"/>
      <c r="BR1093" s="38"/>
      <c r="BS1093" s="38"/>
      <c r="BT1093" s="38"/>
      <c r="BU1093" s="38"/>
      <c r="BV1093" s="38"/>
    </row>
    <row r="1094" ht="14.25" customHeight="1">
      <c r="A1094" s="74"/>
      <c r="B1094" s="38"/>
      <c r="C1094" s="38"/>
      <c r="D1094" s="38"/>
      <c r="E1094" s="74"/>
      <c r="F1094" s="74"/>
      <c r="G1094" s="74"/>
      <c r="H1094" s="74"/>
      <c r="I1094" s="74"/>
      <c r="J1094" s="74"/>
      <c r="K1094" s="74"/>
      <c r="L1094" s="74"/>
      <c r="M1094" s="74"/>
      <c r="N1094" s="74"/>
      <c r="O1094" s="74"/>
      <c r="P1094" s="74"/>
      <c r="Q1094" s="74"/>
      <c r="R1094" s="74"/>
      <c r="S1094" s="74"/>
      <c r="T1094" s="74"/>
      <c r="U1094" s="74"/>
      <c r="V1094" s="74"/>
      <c r="W1094" s="74"/>
      <c r="X1094" s="74"/>
      <c r="Y1094" s="74"/>
      <c r="Z1094" s="74"/>
      <c r="AA1094" s="74"/>
      <c r="AB1094" s="74"/>
      <c r="AC1094" s="74"/>
      <c r="AD1094" s="74"/>
      <c r="AE1094" s="74"/>
      <c r="AF1094" s="74"/>
      <c r="AG1094" s="74"/>
      <c r="AH1094" s="74"/>
      <c r="AI1094" s="74"/>
      <c r="AJ1094" s="74"/>
      <c r="AK1094" s="74"/>
      <c r="AL1094" s="38"/>
      <c r="AM1094" s="38"/>
      <c r="AN1094" s="75"/>
      <c r="AO1094" s="75"/>
      <c r="AP1094" s="38"/>
      <c r="AQ1094" s="38"/>
      <c r="AR1094" s="38"/>
      <c r="AS1094" s="38"/>
      <c r="AT1094" s="38"/>
      <c r="AU1094" s="38"/>
      <c r="AV1094" s="38"/>
      <c r="AW1094" s="38"/>
      <c r="AX1094" s="38"/>
      <c r="AY1094" s="38"/>
      <c r="AZ1094" s="38"/>
      <c r="BA1094" s="38"/>
      <c r="BB1094" s="38"/>
      <c r="BC1094" s="38"/>
      <c r="BD1094" s="38"/>
      <c r="BE1094" s="38"/>
      <c r="BF1094" s="38"/>
      <c r="BG1094" s="38"/>
      <c r="BH1094" s="38"/>
      <c r="BI1094" s="38"/>
      <c r="BJ1094" s="38"/>
      <c r="BK1094" s="38"/>
      <c r="BL1094" s="38"/>
      <c r="BM1094" s="38"/>
      <c r="BN1094" s="38"/>
      <c r="BO1094" s="38"/>
      <c r="BP1094" s="38"/>
      <c r="BQ1094" s="38"/>
      <c r="BR1094" s="38"/>
      <c r="BS1094" s="38"/>
      <c r="BT1094" s="38"/>
      <c r="BU1094" s="38"/>
      <c r="BV1094" s="38"/>
    </row>
    <row r="1095" ht="14.25" customHeight="1">
      <c r="A1095" s="74"/>
      <c r="B1095" s="38"/>
      <c r="C1095" s="38"/>
      <c r="D1095" s="38"/>
      <c r="E1095" s="74"/>
      <c r="F1095" s="74"/>
      <c r="G1095" s="74"/>
      <c r="H1095" s="74"/>
      <c r="I1095" s="74"/>
      <c r="J1095" s="74"/>
      <c r="K1095" s="74"/>
      <c r="L1095" s="74"/>
      <c r="M1095" s="74"/>
      <c r="N1095" s="74"/>
      <c r="O1095" s="74"/>
      <c r="P1095" s="74"/>
      <c r="Q1095" s="74"/>
      <c r="R1095" s="74"/>
      <c r="S1095" s="74"/>
      <c r="T1095" s="74"/>
      <c r="U1095" s="74"/>
      <c r="V1095" s="74"/>
      <c r="W1095" s="74"/>
      <c r="X1095" s="74"/>
      <c r="Y1095" s="74"/>
      <c r="Z1095" s="74"/>
      <c r="AA1095" s="74"/>
      <c r="AB1095" s="74"/>
      <c r="AC1095" s="74"/>
      <c r="AD1095" s="74"/>
      <c r="AE1095" s="74"/>
      <c r="AF1095" s="74"/>
      <c r="AG1095" s="74"/>
      <c r="AH1095" s="74"/>
      <c r="AI1095" s="74"/>
      <c r="AJ1095" s="74"/>
      <c r="AK1095" s="74"/>
      <c r="AL1095" s="38"/>
      <c r="AM1095" s="38"/>
      <c r="AN1095" s="75"/>
      <c r="AO1095" s="75"/>
      <c r="AP1095" s="38"/>
      <c r="AQ1095" s="38"/>
      <c r="AR1095" s="38"/>
      <c r="AS1095" s="38"/>
      <c r="AT1095" s="38"/>
      <c r="AU1095" s="38"/>
      <c r="AV1095" s="38"/>
      <c r="AW1095" s="38"/>
      <c r="AX1095" s="38"/>
      <c r="AY1095" s="38"/>
      <c r="AZ1095" s="38"/>
      <c r="BA1095" s="38"/>
      <c r="BB1095" s="38"/>
      <c r="BC1095" s="38"/>
      <c r="BD1095" s="38"/>
      <c r="BE1095" s="38"/>
      <c r="BF1095" s="38"/>
      <c r="BG1095" s="38"/>
      <c r="BH1095" s="38"/>
      <c r="BI1095" s="38"/>
      <c r="BJ1095" s="38"/>
      <c r="BK1095" s="38"/>
      <c r="BL1095" s="38"/>
      <c r="BM1095" s="38"/>
      <c r="BN1095" s="38"/>
      <c r="BO1095" s="38"/>
      <c r="BP1095" s="38"/>
      <c r="BQ1095" s="38"/>
      <c r="BR1095" s="38"/>
      <c r="BS1095" s="38"/>
      <c r="BT1095" s="38"/>
      <c r="BU1095" s="38"/>
      <c r="BV1095" s="38"/>
    </row>
    <row r="1096" ht="14.25" customHeight="1">
      <c r="A1096" s="74"/>
      <c r="B1096" s="38"/>
      <c r="C1096" s="38"/>
      <c r="D1096" s="38"/>
      <c r="E1096" s="74"/>
      <c r="F1096" s="74"/>
      <c r="G1096" s="74"/>
      <c r="H1096" s="74"/>
      <c r="I1096" s="74"/>
      <c r="J1096" s="74"/>
      <c r="K1096" s="74"/>
      <c r="L1096" s="74"/>
      <c r="M1096" s="74"/>
      <c r="N1096" s="74"/>
      <c r="O1096" s="74"/>
      <c r="P1096" s="74"/>
      <c r="Q1096" s="74"/>
      <c r="R1096" s="74"/>
      <c r="S1096" s="74"/>
      <c r="T1096" s="74"/>
      <c r="U1096" s="74"/>
      <c r="V1096" s="74"/>
      <c r="W1096" s="74"/>
      <c r="X1096" s="74"/>
      <c r="Y1096" s="74"/>
      <c r="Z1096" s="74"/>
      <c r="AA1096" s="74"/>
      <c r="AB1096" s="74"/>
      <c r="AC1096" s="74"/>
      <c r="AD1096" s="74"/>
      <c r="AE1096" s="74"/>
      <c r="AF1096" s="74"/>
      <c r="AG1096" s="74"/>
      <c r="AH1096" s="74"/>
      <c r="AI1096" s="74"/>
      <c r="AJ1096" s="74"/>
      <c r="AK1096" s="74"/>
      <c r="AL1096" s="38"/>
      <c r="AM1096" s="38"/>
      <c r="AN1096" s="75"/>
      <c r="AO1096" s="75"/>
      <c r="AP1096" s="38"/>
      <c r="AQ1096" s="38"/>
      <c r="AR1096" s="38"/>
      <c r="AS1096" s="38"/>
      <c r="AT1096" s="38"/>
      <c r="AU1096" s="38"/>
      <c r="AV1096" s="38"/>
      <c r="AW1096" s="38"/>
      <c r="AX1096" s="38"/>
      <c r="AY1096" s="38"/>
      <c r="AZ1096" s="38"/>
      <c r="BA1096" s="38"/>
      <c r="BB1096" s="38"/>
      <c r="BC1096" s="38"/>
      <c r="BD1096" s="38"/>
      <c r="BE1096" s="38"/>
      <c r="BF1096" s="38"/>
      <c r="BG1096" s="38"/>
      <c r="BH1096" s="38"/>
      <c r="BI1096" s="38"/>
      <c r="BJ1096" s="38"/>
      <c r="BK1096" s="38"/>
      <c r="BL1096" s="38"/>
      <c r="BM1096" s="38"/>
      <c r="BN1096" s="38"/>
      <c r="BO1096" s="38"/>
      <c r="BP1096" s="38"/>
      <c r="BQ1096" s="38"/>
      <c r="BR1096" s="38"/>
      <c r="BS1096" s="38"/>
      <c r="BT1096" s="38"/>
      <c r="BU1096" s="38"/>
      <c r="BV1096" s="38"/>
    </row>
    <row r="1097" ht="14.25" customHeight="1">
      <c r="A1097" s="74"/>
      <c r="B1097" s="38"/>
      <c r="C1097" s="38"/>
      <c r="D1097" s="38"/>
      <c r="E1097" s="74"/>
      <c r="F1097" s="74"/>
      <c r="G1097" s="74"/>
      <c r="H1097" s="74"/>
      <c r="I1097" s="74"/>
      <c r="J1097" s="74"/>
      <c r="K1097" s="74"/>
      <c r="L1097" s="74"/>
      <c r="M1097" s="74"/>
      <c r="N1097" s="74"/>
      <c r="O1097" s="74"/>
      <c r="P1097" s="74"/>
      <c r="Q1097" s="74"/>
      <c r="R1097" s="74"/>
      <c r="S1097" s="74"/>
      <c r="T1097" s="74"/>
      <c r="U1097" s="74"/>
      <c r="V1097" s="74"/>
      <c r="W1097" s="74"/>
      <c r="X1097" s="74"/>
      <c r="Y1097" s="74"/>
      <c r="Z1097" s="74"/>
      <c r="AA1097" s="74"/>
      <c r="AB1097" s="74"/>
      <c r="AC1097" s="74"/>
      <c r="AD1097" s="74"/>
      <c r="AE1097" s="74"/>
      <c r="AF1097" s="74"/>
      <c r="AG1097" s="74"/>
      <c r="AH1097" s="74"/>
      <c r="AI1097" s="74"/>
      <c r="AJ1097" s="74"/>
      <c r="AK1097" s="74"/>
      <c r="AL1097" s="38"/>
      <c r="AM1097" s="38"/>
      <c r="AN1097" s="75"/>
      <c r="AO1097" s="75"/>
      <c r="AP1097" s="38"/>
      <c r="AQ1097" s="38"/>
      <c r="AR1097" s="38"/>
      <c r="AS1097" s="38"/>
      <c r="AT1097" s="38"/>
      <c r="AU1097" s="38"/>
      <c r="AV1097" s="38"/>
      <c r="AW1097" s="38"/>
      <c r="AX1097" s="38"/>
      <c r="AY1097" s="38"/>
      <c r="AZ1097" s="38"/>
      <c r="BA1097" s="38"/>
      <c r="BB1097" s="38"/>
      <c r="BC1097" s="38"/>
      <c r="BD1097" s="38"/>
      <c r="BE1097" s="38"/>
      <c r="BF1097" s="38"/>
      <c r="BG1097" s="38"/>
      <c r="BH1097" s="38"/>
      <c r="BI1097" s="38"/>
      <c r="BJ1097" s="38"/>
      <c r="BK1097" s="38"/>
      <c r="BL1097" s="38"/>
      <c r="BM1097" s="38"/>
      <c r="BN1097" s="38"/>
      <c r="BO1097" s="38"/>
      <c r="BP1097" s="38"/>
      <c r="BQ1097" s="38"/>
      <c r="BR1097" s="38"/>
      <c r="BS1097" s="38"/>
      <c r="BT1097" s="38"/>
      <c r="BU1097" s="38"/>
      <c r="BV1097" s="38"/>
    </row>
    <row r="1098" ht="14.25" customHeight="1">
      <c r="A1098" s="74"/>
      <c r="B1098" s="38"/>
      <c r="C1098" s="38"/>
      <c r="D1098" s="38"/>
      <c r="E1098" s="74"/>
      <c r="F1098" s="74"/>
      <c r="G1098" s="74"/>
      <c r="H1098" s="74"/>
      <c r="I1098" s="74"/>
      <c r="J1098" s="74"/>
      <c r="K1098" s="74"/>
      <c r="L1098" s="74"/>
      <c r="M1098" s="74"/>
      <c r="N1098" s="74"/>
      <c r="O1098" s="74"/>
      <c r="P1098" s="74"/>
      <c r="Q1098" s="74"/>
      <c r="R1098" s="74"/>
      <c r="S1098" s="74"/>
      <c r="T1098" s="74"/>
      <c r="U1098" s="74"/>
      <c r="V1098" s="74"/>
      <c r="W1098" s="74"/>
      <c r="X1098" s="74"/>
      <c r="Y1098" s="74"/>
      <c r="Z1098" s="74"/>
      <c r="AA1098" s="74"/>
      <c r="AB1098" s="74"/>
      <c r="AC1098" s="74"/>
      <c r="AD1098" s="74"/>
      <c r="AE1098" s="74"/>
      <c r="AF1098" s="74"/>
      <c r="AG1098" s="74"/>
      <c r="AH1098" s="74"/>
      <c r="AI1098" s="74"/>
      <c r="AJ1098" s="74"/>
      <c r="AK1098" s="74"/>
      <c r="AL1098" s="38"/>
      <c r="AM1098" s="38"/>
      <c r="AN1098" s="75"/>
      <c r="AO1098" s="75"/>
      <c r="AP1098" s="38"/>
      <c r="AQ1098" s="38"/>
      <c r="AR1098" s="38"/>
      <c r="AS1098" s="38"/>
      <c r="AT1098" s="38"/>
      <c r="AU1098" s="38"/>
      <c r="AV1098" s="38"/>
      <c r="AW1098" s="38"/>
      <c r="AX1098" s="38"/>
      <c r="AY1098" s="38"/>
      <c r="AZ1098" s="38"/>
      <c r="BA1098" s="38"/>
      <c r="BB1098" s="38"/>
      <c r="BC1098" s="38"/>
      <c r="BD1098" s="38"/>
      <c r="BE1098" s="38"/>
      <c r="BF1098" s="38"/>
      <c r="BG1098" s="38"/>
      <c r="BH1098" s="38"/>
      <c r="BI1098" s="38"/>
      <c r="BJ1098" s="38"/>
      <c r="BK1098" s="38"/>
      <c r="BL1098" s="38"/>
      <c r="BM1098" s="38"/>
      <c r="BN1098" s="38"/>
      <c r="BO1098" s="38"/>
      <c r="BP1098" s="38"/>
      <c r="BQ1098" s="38"/>
      <c r="BR1098" s="38"/>
      <c r="BS1098" s="38"/>
      <c r="BT1098" s="38"/>
      <c r="BU1098" s="38"/>
      <c r="BV1098" s="38"/>
    </row>
    <row r="1099" ht="14.25" customHeight="1">
      <c r="A1099" s="74"/>
      <c r="B1099" s="38"/>
      <c r="C1099" s="38"/>
      <c r="D1099" s="38"/>
      <c r="E1099" s="74"/>
      <c r="F1099" s="74"/>
      <c r="G1099" s="74"/>
      <c r="H1099" s="74"/>
      <c r="I1099" s="74"/>
      <c r="J1099" s="74"/>
      <c r="K1099" s="74"/>
      <c r="L1099" s="74"/>
      <c r="M1099" s="74"/>
      <c r="N1099" s="74"/>
      <c r="O1099" s="74"/>
      <c r="P1099" s="74"/>
      <c r="Q1099" s="74"/>
      <c r="R1099" s="74"/>
      <c r="S1099" s="74"/>
      <c r="T1099" s="74"/>
      <c r="U1099" s="74"/>
      <c r="V1099" s="74"/>
      <c r="W1099" s="74"/>
      <c r="X1099" s="74"/>
      <c r="Y1099" s="74"/>
      <c r="Z1099" s="74"/>
      <c r="AA1099" s="74"/>
      <c r="AB1099" s="74"/>
      <c r="AC1099" s="74"/>
      <c r="AD1099" s="74"/>
      <c r="AE1099" s="74"/>
      <c r="AF1099" s="74"/>
      <c r="AG1099" s="74"/>
      <c r="AH1099" s="74"/>
      <c r="AI1099" s="74"/>
      <c r="AJ1099" s="74"/>
      <c r="AK1099" s="74"/>
      <c r="AL1099" s="38"/>
      <c r="AM1099" s="38"/>
      <c r="AN1099" s="75"/>
      <c r="AO1099" s="75"/>
      <c r="AP1099" s="38"/>
      <c r="AQ1099" s="38"/>
      <c r="AR1099" s="38"/>
      <c r="AS1099" s="38"/>
      <c r="AT1099" s="38"/>
      <c r="AU1099" s="38"/>
      <c r="AV1099" s="38"/>
      <c r="AW1099" s="38"/>
      <c r="AX1099" s="38"/>
      <c r="AY1099" s="38"/>
      <c r="AZ1099" s="38"/>
      <c r="BA1099" s="38"/>
      <c r="BB1099" s="38"/>
      <c r="BC1099" s="38"/>
      <c r="BD1099" s="38"/>
      <c r="BE1099" s="38"/>
      <c r="BF1099" s="38"/>
      <c r="BG1099" s="38"/>
      <c r="BH1099" s="38"/>
      <c r="BI1099" s="38"/>
      <c r="BJ1099" s="38"/>
      <c r="BK1099" s="38"/>
      <c r="BL1099" s="38"/>
      <c r="BM1099" s="38"/>
      <c r="BN1099" s="38"/>
      <c r="BO1099" s="38"/>
      <c r="BP1099" s="38"/>
      <c r="BQ1099" s="38"/>
      <c r="BR1099" s="38"/>
      <c r="BS1099" s="38"/>
      <c r="BT1099" s="38"/>
      <c r="BU1099" s="38"/>
      <c r="BV1099" s="38"/>
    </row>
    <row r="1100" ht="14.25" customHeight="1">
      <c r="A1100" s="74"/>
      <c r="B1100" s="38"/>
      <c r="C1100" s="38"/>
      <c r="D1100" s="38"/>
      <c r="E1100" s="74"/>
      <c r="F1100" s="74"/>
      <c r="G1100" s="74"/>
      <c r="H1100" s="74"/>
      <c r="I1100" s="74"/>
      <c r="J1100" s="74"/>
      <c r="K1100" s="74"/>
      <c r="L1100" s="74"/>
      <c r="M1100" s="74"/>
      <c r="N1100" s="74"/>
      <c r="O1100" s="74"/>
      <c r="P1100" s="74"/>
      <c r="Q1100" s="74"/>
      <c r="R1100" s="74"/>
      <c r="S1100" s="74"/>
      <c r="T1100" s="74"/>
      <c r="U1100" s="74"/>
      <c r="V1100" s="74"/>
      <c r="W1100" s="74"/>
      <c r="X1100" s="74"/>
      <c r="Y1100" s="74"/>
      <c r="Z1100" s="74"/>
      <c r="AA1100" s="74"/>
      <c r="AB1100" s="74"/>
      <c r="AC1100" s="74"/>
      <c r="AD1100" s="74"/>
      <c r="AE1100" s="74"/>
      <c r="AF1100" s="74"/>
      <c r="AG1100" s="74"/>
      <c r="AH1100" s="74"/>
      <c r="AI1100" s="74"/>
      <c r="AJ1100" s="74"/>
      <c r="AK1100" s="74"/>
      <c r="AL1100" s="38"/>
      <c r="AM1100" s="38"/>
      <c r="AN1100" s="75"/>
      <c r="AO1100" s="75"/>
      <c r="AP1100" s="38"/>
      <c r="AQ1100" s="38"/>
      <c r="AR1100" s="38"/>
      <c r="AS1100" s="38"/>
      <c r="AT1100" s="38"/>
      <c r="AU1100" s="38"/>
      <c r="AV1100" s="38"/>
      <c r="AW1100" s="38"/>
      <c r="AX1100" s="38"/>
      <c r="AY1100" s="38"/>
      <c r="AZ1100" s="38"/>
      <c r="BA1100" s="38"/>
      <c r="BB1100" s="38"/>
      <c r="BC1100" s="38"/>
      <c r="BD1100" s="38"/>
      <c r="BE1100" s="38"/>
      <c r="BF1100" s="38"/>
      <c r="BG1100" s="38"/>
      <c r="BH1100" s="38"/>
      <c r="BI1100" s="38"/>
      <c r="BJ1100" s="38"/>
      <c r="BK1100" s="38"/>
      <c r="BL1100" s="38"/>
      <c r="BM1100" s="38"/>
      <c r="BN1100" s="38"/>
      <c r="BO1100" s="38"/>
      <c r="BP1100" s="38"/>
      <c r="BQ1100" s="38"/>
      <c r="BR1100" s="38"/>
      <c r="BS1100" s="38"/>
      <c r="BT1100" s="38"/>
      <c r="BU1100" s="38"/>
      <c r="BV1100" s="38"/>
    </row>
    <row r="1101" ht="14.25" customHeight="1">
      <c r="A1101" s="74"/>
      <c r="B1101" s="38"/>
      <c r="C1101" s="38"/>
      <c r="D1101" s="38"/>
      <c r="E1101" s="74"/>
      <c r="F1101" s="74"/>
      <c r="G1101" s="74"/>
      <c r="H1101" s="74"/>
      <c r="I1101" s="74"/>
      <c r="J1101" s="74"/>
      <c r="K1101" s="74"/>
      <c r="L1101" s="74"/>
      <c r="M1101" s="74"/>
      <c r="N1101" s="74"/>
      <c r="O1101" s="74"/>
      <c r="P1101" s="74"/>
      <c r="Q1101" s="74"/>
      <c r="R1101" s="74"/>
      <c r="S1101" s="74"/>
      <c r="T1101" s="74"/>
      <c r="U1101" s="74"/>
      <c r="V1101" s="74"/>
      <c r="W1101" s="74"/>
      <c r="X1101" s="74"/>
      <c r="Y1101" s="74"/>
      <c r="Z1101" s="74"/>
      <c r="AA1101" s="74"/>
      <c r="AB1101" s="74"/>
      <c r="AC1101" s="74"/>
      <c r="AD1101" s="74"/>
      <c r="AE1101" s="74"/>
      <c r="AF1101" s="74"/>
      <c r="AG1101" s="74"/>
      <c r="AH1101" s="74"/>
      <c r="AI1101" s="74"/>
      <c r="AJ1101" s="74"/>
      <c r="AK1101" s="74"/>
      <c r="AL1101" s="38"/>
      <c r="AM1101" s="38"/>
      <c r="AN1101" s="75"/>
      <c r="AO1101" s="75"/>
      <c r="AP1101" s="38"/>
      <c r="AQ1101" s="38"/>
      <c r="AR1101" s="38"/>
      <c r="AS1101" s="38"/>
      <c r="AT1101" s="38"/>
      <c r="AU1101" s="38"/>
      <c r="AV1101" s="38"/>
      <c r="AW1101" s="38"/>
      <c r="AX1101" s="38"/>
      <c r="AY1101" s="38"/>
      <c r="AZ1101" s="38"/>
      <c r="BA1101" s="38"/>
      <c r="BB1101" s="38"/>
      <c r="BC1101" s="38"/>
      <c r="BD1101" s="38"/>
      <c r="BE1101" s="38"/>
      <c r="BF1101" s="38"/>
      <c r="BG1101" s="38"/>
      <c r="BH1101" s="38"/>
      <c r="BI1101" s="38"/>
      <c r="BJ1101" s="38"/>
      <c r="BK1101" s="38"/>
      <c r="BL1101" s="38"/>
      <c r="BM1101" s="38"/>
      <c r="BN1101" s="38"/>
      <c r="BO1101" s="38"/>
      <c r="BP1101" s="38"/>
      <c r="BQ1101" s="38"/>
      <c r="BR1101" s="38"/>
      <c r="BS1101" s="38"/>
      <c r="BT1101" s="38"/>
      <c r="BU1101" s="38"/>
      <c r="BV1101" s="38"/>
    </row>
    <row r="1102" ht="14.25" customHeight="1">
      <c r="A1102" s="74"/>
      <c r="B1102" s="38"/>
      <c r="C1102" s="38"/>
      <c r="D1102" s="38"/>
      <c r="E1102" s="74"/>
      <c r="F1102" s="74"/>
      <c r="G1102" s="74"/>
      <c r="H1102" s="74"/>
      <c r="I1102" s="74"/>
      <c r="J1102" s="74"/>
      <c r="K1102" s="74"/>
      <c r="L1102" s="74"/>
      <c r="M1102" s="74"/>
      <c r="N1102" s="74"/>
      <c r="O1102" s="74"/>
      <c r="P1102" s="74"/>
      <c r="Q1102" s="74"/>
      <c r="R1102" s="74"/>
      <c r="S1102" s="74"/>
      <c r="T1102" s="74"/>
      <c r="U1102" s="74"/>
      <c r="V1102" s="74"/>
      <c r="W1102" s="74"/>
      <c r="X1102" s="74"/>
      <c r="Y1102" s="74"/>
      <c r="Z1102" s="74"/>
      <c r="AA1102" s="74"/>
      <c r="AB1102" s="74"/>
      <c r="AC1102" s="74"/>
      <c r="AD1102" s="74"/>
      <c r="AE1102" s="74"/>
      <c r="AF1102" s="74"/>
      <c r="AG1102" s="74"/>
      <c r="AH1102" s="74"/>
      <c r="AI1102" s="74"/>
      <c r="AJ1102" s="74"/>
      <c r="AK1102" s="74"/>
      <c r="AL1102" s="38"/>
      <c r="AM1102" s="38"/>
      <c r="AN1102" s="75"/>
      <c r="AO1102" s="75"/>
      <c r="AP1102" s="38"/>
      <c r="AQ1102" s="38"/>
      <c r="AR1102" s="38"/>
      <c r="AS1102" s="38"/>
      <c r="AT1102" s="38"/>
      <c r="AU1102" s="38"/>
      <c r="AV1102" s="38"/>
      <c r="AW1102" s="38"/>
      <c r="AX1102" s="38"/>
      <c r="AY1102" s="38"/>
      <c r="AZ1102" s="38"/>
      <c r="BA1102" s="38"/>
      <c r="BB1102" s="38"/>
      <c r="BC1102" s="38"/>
      <c r="BD1102" s="38"/>
      <c r="BE1102" s="38"/>
      <c r="BF1102" s="38"/>
      <c r="BG1102" s="38"/>
      <c r="BH1102" s="38"/>
      <c r="BI1102" s="38"/>
      <c r="BJ1102" s="38"/>
      <c r="BK1102" s="38"/>
      <c r="BL1102" s="38"/>
      <c r="BM1102" s="38"/>
      <c r="BN1102" s="38"/>
      <c r="BO1102" s="38"/>
      <c r="BP1102" s="38"/>
      <c r="BQ1102" s="38"/>
      <c r="BR1102" s="38"/>
      <c r="BS1102" s="38"/>
      <c r="BT1102" s="38"/>
      <c r="BU1102" s="38"/>
      <c r="BV1102" s="38"/>
    </row>
    <row r="1103" ht="14.25" customHeight="1">
      <c r="A1103" s="74"/>
      <c r="B1103" s="38"/>
      <c r="C1103" s="38"/>
      <c r="D1103" s="38"/>
      <c r="E1103" s="74"/>
      <c r="F1103" s="74"/>
      <c r="G1103" s="74"/>
      <c r="H1103" s="74"/>
      <c r="I1103" s="74"/>
      <c r="J1103" s="74"/>
      <c r="K1103" s="74"/>
      <c r="L1103" s="74"/>
      <c r="M1103" s="74"/>
      <c r="N1103" s="74"/>
      <c r="O1103" s="74"/>
      <c r="P1103" s="74"/>
      <c r="Q1103" s="74"/>
      <c r="R1103" s="74"/>
      <c r="S1103" s="74"/>
      <c r="T1103" s="74"/>
      <c r="U1103" s="74"/>
      <c r="V1103" s="74"/>
      <c r="W1103" s="74"/>
      <c r="X1103" s="74"/>
      <c r="Y1103" s="74"/>
      <c r="Z1103" s="74"/>
      <c r="AA1103" s="74"/>
      <c r="AB1103" s="74"/>
      <c r="AC1103" s="74"/>
      <c r="AD1103" s="74"/>
      <c r="AE1103" s="74"/>
      <c r="AF1103" s="74"/>
      <c r="AG1103" s="74"/>
      <c r="AH1103" s="74"/>
      <c r="AI1103" s="74"/>
      <c r="AJ1103" s="74"/>
      <c r="AK1103" s="74"/>
      <c r="AL1103" s="38"/>
      <c r="AM1103" s="38"/>
      <c r="AN1103" s="75"/>
      <c r="AO1103" s="75"/>
      <c r="AP1103" s="38"/>
      <c r="AQ1103" s="38"/>
      <c r="AR1103" s="38"/>
      <c r="AS1103" s="38"/>
      <c r="AT1103" s="38"/>
      <c r="AU1103" s="38"/>
      <c r="AV1103" s="38"/>
      <c r="AW1103" s="38"/>
      <c r="AX1103" s="38"/>
      <c r="AY1103" s="38"/>
      <c r="AZ1103" s="38"/>
      <c r="BA1103" s="38"/>
      <c r="BB1103" s="38"/>
      <c r="BC1103" s="38"/>
      <c r="BD1103" s="38"/>
      <c r="BE1103" s="38"/>
      <c r="BF1103" s="38"/>
      <c r="BG1103" s="38"/>
      <c r="BH1103" s="38"/>
      <c r="BI1103" s="38"/>
      <c r="BJ1103" s="38"/>
      <c r="BK1103" s="38"/>
      <c r="BL1103" s="38"/>
      <c r="BM1103" s="38"/>
      <c r="BN1103" s="38"/>
      <c r="BO1103" s="38"/>
      <c r="BP1103" s="38"/>
      <c r="BQ1103" s="38"/>
      <c r="BR1103" s="38"/>
      <c r="BS1103" s="38"/>
      <c r="BT1103" s="38"/>
      <c r="BU1103" s="38"/>
      <c r="BV1103" s="38"/>
    </row>
    <row r="1104" ht="14.25" customHeight="1">
      <c r="A1104" s="74"/>
      <c r="B1104" s="38"/>
      <c r="C1104" s="38"/>
      <c r="D1104" s="38"/>
      <c r="E1104" s="74"/>
      <c r="F1104" s="74"/>
      <c r="G1104" s="74"/>
      <c r="H1104" s="74"/>
      <c r="I1104" s="74"/>
      <c r="J1104" s="74"/>
      <c r="K1104" s="74"/>
      <c r="L1104" s="74"/>
      <c r="M1104" s="74"/>
      <c r="N1104" s="74"/>
      <c r="O1104" s="74"/>
      <c r="P1104" s="74"/>
      <c r="Q1104" s="74"/>
      <c r="R1104" s="74"/>
      <c r="S1104" s="74"/>
      <c r="T1104" s="74"/>
      <c r="U1104" s="74"/>
      <c r="V1104" s="74"/>
      <c r="W1104" s="74"/>
      <c r="X1104" s="74"/>
      <c r="Y1104" s="74"/>
      <c r="Z1104" s="74"/>
      <c r="AA1104" s="74"/>
      <c r="AB1104" s="74"/>
      <c r="AC1104" s="74"/>
      <c r="AD1104" s="74"/>
      <c r="AE1104" s="74"/>
      <c r="AF1104" s="74"/>
      <c r="AG1104" s="74"/>
      <c r="AH1104" s="74"/>
      <c r="AI1104" s="74"/>
      <c r="AJ1104" s="74"/>
      <c r="AK1104" s="74"/>
      <c r="AL1104" s="38"/>
      <c r="AM1104" s="38"/>
      <c r="AN1104" s="75"/>
      <c r="AO1104" s="75"/>
      <c r="AP1104" s="38"/>
      <c r="AQ1104" s="38"/>
      <c r="AR1104" s="38"/>
      <c r="AS1104" s="38"/>
      <c r="AT1104" s="38"/>
      <c r="AU1104" s="38"/>
      <c r="AV1104" s="38"/>
      <c r="AW1104" s="38"/>
      <c r="AX1104" s="38"/>
      <c r="AY1104" s="38"/>
      <c r="AZ1104" s="38"/>
      <c r="BA1104" s="38"/>
      <c r="BB1104" s="38"/>
      <c r="BC1104" s="38"/>
      <c r="BD1104" s="38"/>
      <c r="BE1104" s="38"/>
      <c r="BF1104" s="38"/>
      <c r="BG1104" s="38"/>
      <c r="BH1104" s="38"/>
      <c r="BI1104" s="38"/>
      <c r="BJ1104" s="38"/>
      <c r="BK1104" s="38"/>
      <c r="BL1104" s="38"/>
      <c r="BM1104" s="38"/>
      <c r="BN1104" s="38"/>
      <c r="BO1104" s="38"/>
      <c r="BP1104" s="38"/>
      <c r="BQ1104" s="38"/>
      <c r="BR1104" s="38"/>
      <c r="BS1104" s="38"/>
      <c r="BT1104" s="38"/>
      <c r="BU1104" s="38"/>
      <c r="BV1104" s="38"/>
    </row>
    <row r="1105" ht="14.25" customHeight="1">
      <c r="A1105" s="74"/>
      <c r="B1105" s="38"/>
      <c r="C1105" s="38"/>
      <c r="D1105" s="38"/>
      <c r="E1105" s="74"/>
      <c r="F1105" s="74"/>
      <c r="G1105" s="74"/>
      <c r="H1105" s="74"/>
      <c r="I1105" s="74"/>
      <c r="J1105" s="74"/>
      <c r="K1105" s="74"/>
      <c r="L1105" s="74"/>
      <c r="M1105" s="74"/>
      <c r="N1105" s="74"/>
      <c r="O1105" s="74"/>
      <c r="P1105" s="74"/>
      <c r="Q1105" s="74"/>
      <c r="R1105" s="74"/>
      <c r="S1105" s="74"/>
      <c r="T1105" s="74"/>
      <c r="U1105" s="74"/>
      <c r="V1105" s="74"/>
      <c r="W1105" s="74"/>
      <c r="X1105" s="74"/>
      <c r="Y1105" s="74"/>
      <c r="Z1105" s="74"/>
      <c r="AA1105" s="74"/>
      <c r="AB1105" s="74"/>
      <c r="AC1105" s="74"/>
      <c r="AD1105" s="74"/>
      <c r="AE1105" s="74"/>
      <c r="AF1105" s="74"/>
      <c r="AG1105" s="74"/>
      <c r="AH1105" s="74"/>
      <c r="AI1105" s="74"/>
      <c r="AJ1105" s="74"/>
      <c r="AK1105" s="74"/>
      <c r="AL1105" s="38"/>
      <c r="AM1105" s="38"/>
      <c r="AN1105" s="75"/>
      <c r="AO1105" s="75"/>
      <c r="AP1105" s="38"/>
      <c r="AQ1105" s="38"/>
      <c r="AR1105" s="38"/>
      <c r="AS1105" s="38"/>
      <c r="AT1105" s="38"/>
      <c r="AU1105" s="38"/>
      <c r="AV1105" s="38"/>
      <c r="AW1105" s="38"/>
      <c r="AX1105" s="38"/>
      <c r="AY1105" s="38"/>
      <c r="AZ1105" s="38"/>
      <c r="BA1105" s="38"/>
      <c r="BB1105" s="38"/>
      <c r="BC1105" s="38"/>
      <c r="BD1105" s="38"/>
      <c r="BE1105" s="38"/>
      <c r="BF1105" s="38"/>
      <c r="BG1105" s="38"/>
      <c r="BH1105" s="38"/>
      <c r="BI1105" s="38"/>
      <c r="BJ1105" s="38"/>
      <c r="BK1105" s="38"/>
      <c r="BL1105" s="38"/>
      <c r="BM1105" s="38"/>
      <c r="BN1105" s="38"/>
      <c r="BO1105" s="38"/>
      <c r="BP1105" s="38"/>
      <c r="BQ1105" s="38"/>
      <c r="BR1105" s="38"/>
      <c r="BS1105" s="38"/>
      <c r="BT1105" s="38"/>
      <c r="BU1105" s="38"/>
      <c r="BV1105" s="38"/>
    </row>
    <row r="1106" ht="14.25" customHeight="1">
      <c r="A1106" s="74"/>
      <c r="B1106" s="38"/>
      <c r="C1106" s="38"/>
      <c r="D1106" s="38"/>
      <c r="E1106" s="74"/>
      <c r="F1106" s="74"/>
      <c r="G1106" s="74"/>
      <c r="H1106" s="74"/>
      <c r="I1106" s="74"/>
      <c r="J1106" s="74"/>
      <c r="K1106" s="74"/>
      <c r="L1106" s="74"/>
      <c r="M1106" s="74"/>
      <c r="N1106" s="74"/>
      <c r="O1106" s="74"/>
      <c r="P1106" s="74"/>
      <c r="Q1106" s="74"/>
      <c r="R1106" s="74"/>
      <c r="S1106" s="74"/>
      <c r="T1106" s="74"/>
      <c r="U1106" s="74"/>
      <c r="V1106" s="74"/>
      <c r="W1106" s="74"/>
      <c r="X1106" s="74"/>
      <c r="Y1106" s="74"/>
      <c r="Z1106" s="74"/>
      <c r="AA1106" s="74"/>
      <c r="AB1106" s="74"/>
      <c r="AC1106" s="74"/>
      <c r="AD1106" s="74"/>
      <c r="AE1106" s="74"/>
      <c r="AF1106" s="74"/>
      <c r="AG1106" s="74"/>
      <c r="AH1106" s="74"/>
      <c r="AI1106" s="74"/>
      <c r="AJ1106" s="74"/>
      <c r="AK1106" s="74"/>
      <c r="AL1106" s="38"/>
      <c r="AM1106" s="38"/>
      <c r="AN1106" s="75"/>
      <c r="AO1106" s="75"/>
      <c r="AP1106" s="38"/>
      <c r="AQ1106" s="38"/>
      <c r="AR1106" s="38"/>
      <c r="AS1106" s="38"/>
      <c r="AT1106" s="38"/>
      <c r="AU1106" s="38"/>
      <c r="AV1106" s="38"/>
      <c r="AW1106" s="38"/>
      <c r="AX1106" s="38"/>
      <c r="AY1106" s="38"/>
      <c r="AZ1106" s="38"/>
      <c r="BA1106" s="38"/>
      <c r="BB1106" s="38"/>
      <c r="BC1106" s="38"/>
      <c r="BD1106" s="38"/>
      <c r="BE1106" s="38"/>
      <c r="BF1106" s="38"/>
      <c r="BG1106" s="38"/>
      <c r="BH1106" s="38"/>
      <c r="BI1106" s="38"/>
      <c r="BJ1106" s="38"/>
      <c r="BK1106" s="38"/>
      <c r="BL1106" s="38"/>
      <c r="BM1106" s="38"/>
      <c r="BN1106" s="38"/>
      <c r="BO1106" s="38"/>
      <c r="BP1106" s="38"/>
      <c r="BQ1106" s="38"/>
      <c r="BR1106" s="38"/>
      <c r="BS1106" s="38"/>
      <c r="BT1106" s="38"/>
      <c r="BU1106" s="38"/>
      <c r="BV1106" s="38"/>
    </row>
    <row r="1107" ht="14.25" customHeight="1">
      <c r="A1107" s="74"/>
      <c r="B1107" s="38"/>
      <c r="C1107" s="38"/>
      <c r="D1107" s="38"/>
      <c r="E1107" s="74"/>
      <c r="F1107" s="74"/>
      <c r="G1107" s="74"/>
      <c r="H1107" s="74"/>
      <c r="I1107" s="74"/>
      <c r="J1107" s="74"/>
      <c r="K1107" s="74"/>
      <c r="L1107" s="74"/>
      <c r="M1107" s="74"/>
      <c r="N1107" s="74"/>
      <c r="O1107" s="74"/>
      <c r="P1107" s="74"/>
      <c r="Q1107" s="74"/>
      <c r="R1107" s="74"/>
      <c r="S1107" s="74"/>
      <c r="T1107" s="74"/>
      <c r="U1107" s="74"/>
      <c r="V1107" s="74"/>
      <c r="W1107" s="74"/>
      <c r="X1107" s="74"/>
      <c r="Y1107" s="74"/>
      <c r="Z1107" s="74"/>
      <c r="AA1107" s="74"/>
      <c r="AB1107" s="74"/>
      <c r="AC1107" s="74"/>
      <c r="AD1107" s="74"/>
      <c r="AE1107" s="74"/>
      <c r="AF1107" s="74"/>
      <c r="AG1107" s="74"/>
      <c r="AH1107" s="74"/>
      <c r="AI1107" s="74"/>
      <c r="AJ1107" s="74"/>
      <c r="AK1107" s="74"/>
      <c r="AL1107" s="38"/>
      <c r="AM1107" s="38"/>
      <c r="AN1107" s="75"/>
      <c r="AO1107" s="75"/>
      <c r="AP1107" s="38"/>
      <c r="AQ1107" s="38"/>
      <c r="AR1107" s="38"/>
      <c r="AS1107" s="38"/>
      <c r="AT1107" s="38"/>
      <c r="AU1107" s="38"/>
      <c r="AV1107" s="38"/>
      <c r="AW1107" s="38"/>
      <c r="AX1107" s="38"/>
      <c r="AY1107" s="38"/>
      <c r="AZ1107" s="38"/>
      <c r="BA1107" s="38"/>
      <c r="BB1107" s="38"/>
      <c r="BC1107" s="38"/>
      <c r="BD1107" s="38"/>
      <c r="BE1107" s="38"/>
      <c r="BF1107" s="38"/>
      <c r="BG1107" s="38"/>
      <c r="BH1107" s="38"/>
      <c r="BI1107" s="38"/>
      <c r="BJ1107" s="38"/>
      <c r="BK1107" s="38"/>
      <c r="BL1107" s="38"/>
      <c r="BM1107" s="38"/>
      <c r="BN1107" s="38"/>
      <c r="BO1107" s="38"/>
      <c r="BP1107" s="38"/>
      <c r="BQ1107" s="38"/>
      <c r="BR1107" s="38"/>
      <c r="BS1107" s="38"/>
      <c r="BT1107" s="38"/>
      <c r="BU1107" s="38"/>
      <c r="BV1107" s="38"/>
    </row>
    <row r="1108" ht="14.25" customHeight="1">
      <c r="A1108" s="74"/>
      <c r="B1108" s="38"/>
      <c r="C1108" s="38"/>
      <c r="D1108" s="38"/>
      <c r="E1108" s="74"/>
      <c r="F1108" s="74"/>
      <c r="G1108" s="74"/>
      <c r="H1108" s="74"/>
      <c r="I1108" s="74"/>
      <c r="J1108" s="74"/>
      <c r="K1108" s="74"/>
      <c r="L1108" s="74"/>
      <c r="M1108" s="74"/>
      <c r="N1108" s="74"/>
      <c r="O1108" s="74"/>
      <c r="P1108" s="74"/>
      <c r="Q1108" s="74"/>
      <c r="R1108" s="74"/>
      <c r="S1108" s="74"/>
      <c r="T1108" s="74"/>
      <c r="U1108" s="74"/>
      <c r="V1108" s="74"/>
      <c r="W1108" s="74"/>
      <c r="X1108" s="74"/>
      <c r="Y1108" s="74"/>
      <c r="Z1108" s="74"/>
      <c r="AA1108" s="74"/>
      <c r="AB1108" s="74"/>
      <c r="AC1108" s="74"/>
      <c r="AD1108" s="74"/>
      <c r="AE1108" s="74"/>
      <c r="AF1108" s="74"/>
      <c r="AG1108" s="74"/>
      <c r="AH1108" s="74"/>
      <c r="AI1108" s="74"/>
      <c r="AJ1108" s="74"/>
      <c r="AK1108" s="74"/>
      <c r="AL1108" s="38"/>
      <c r="AM1108" s="38"/>
      <c r="AN1108" s="75"/>
      <c r="AO1108" s="75"/>
      <c r="AP1108" s="38"/>
      <c r="AQ1108" s="38"/>
      <c r="AR1108" s="38"/>
      <c r="AS1108" s="38"/>
      <c r="AT1108" s="38"/>
      <c r="AU1108" s="38"/>
      <c r="AV1108" s="38"/>
      <c r="AW1108" s="38"/>
      <c r="AX1108" s="38"/>
      <c r="AY1108" s="38"/>
      <c r="AZ1108" s="38"/>
      <c r="BA1108" s="38"/>
      <c r="BB1108" s="38"/>
      <c r="BC1108" s="38"/>
      <c r="BD1108" s="38"/>
      <c r="BE1108" s="38"/>
      <c r="BF1108" s="38"/>
      <c r="BG1108" s="38"/>
      <c r="BH1108" s="38"/>
      <c r="BI1108" s="38"/>
      <c r="BJ1108" s="38"/>
      <c r="BK1108" s="38"/>
      <c r="BL1108" s="38"/>
      <c r="BM1108" s="38"/>
      <c r="BN1108" s="38"/>
      <c r="BO1108" s="38"/>
      <c r="BP1108" s="38"/>
      <c r="BQ1108" s="38"/>
      <c r="BR1108" s="38"/>
      <c r="BS1108" s="38"/>
      <c r="BT1108" s="38"/>
      <c r="BU1108" s="38"/>
      <c r="BV1108" s="38"/>
    </row>
    <row r="1109" ht="14.25" customHeight="1">
      <c r="A1109" s="74"/>
      <c r="B1109" s="38"/>
      <c r="C1109" s="38"/>
      <c r="D1109" s="38"/>
      <c r="E1109" s="74"/>
      <c r="F1109" s="74"/>
      <c r="G1109" s="74"/>
      <c r="H1109" s="74"/>
      <c r="I1109" s="74"/>
      <c r="J1109" s="74"/>
      <c r="K1109" s="74"/>
      <c r="L1109" s="74"/>
      <c r="M1109" s="74"/>
      <c r="N1109" s="74"/>
      <c r="O1109" s="74"/>
      <c r="P1109" s="74"/>
      <c r="Q1109" s="74"/>
      <c r="R1109" s="74"/>
      <c r="S1109" s="74"/>
      <c r="T1109" s="74"/>
      <c r="U1109" s="74"/>
      <c r="V1109" s="74"/>
      <c r="W1109" s="74"/>
      <c r="X1109" s="74"/>
      <c r="Y1109" s="74"/>
      <c r="Z1109" s="74"/>
      <c r="AA1109" s="74"/>
      <c r="AB1109" s="74"/>
      <c r="AC1109" s="74"/>
      <c r="AD1109" s="74"/>
      <c r="AE1109" s="74"/>
      <c r="AF1109" s="74"/>
      <c r="AG1109" s="74"/>
      <c r="AH1109" s="74"/>
      <c r="AI1109" s="74"/>
      <c r="AJ1109" s="74"/>
      <c r="AK1109" s="74"/>
      <c r="AL1109" s="38"/>
      <c r="AM1109" s="38"/>
      <c r="AN1109" s="75"/>
      <c r="AO1109" s="75"/>
      <c r="AP1109" s="38"/>
      <c r="AQ1109" s="38"/>
      <c r="AR1109" s="38"/>
      <c r="AS1109" s="38"/>
      <c r="AT1109" s="38"/>
      <c r="AU1109" s="38"/>
      <c r="AV1109" s="38"/>
      <c r="AW1109" s="38"/>
      <c r="AX1109" s="38"/>
      <c r="AY1109" s="38"/>
      <c r="AZ1109" s="38"/>
      <c r="BA1109" s="38"/>
      <c r="BB1109" s="38"/>
      <c r="BC1109" s="38"/>
      <c r="BD1109" s="38"/>
      <c r="BE1109" s="38"/>
      <c r="BF1109" s="38"/>
      <c r="BG1109" s="38"/>
      <c r="BH1109" s="38"/>
      <c r="BI1109" s="38"/>
      <c r="BJ1109" s="38"/>
      <c r="BK1109" s="38"/>
      <c r="BL1109" s="38"/>
      <c r="BM1109" s="38"/>
      <c r="BN1109" s="38"/>
      <c r="BO1109" s="38"/>
      <c r="BP1109" s="38"/>
      <c r="BQ1109" s="38"/>
      <c r="BR1109" s="38"/>
      <c r="BS1109" s="38"/>
      <c r="BT1109" s="38"/>
      <c r="BU1109" s="38"/>
      <c r="BV1109" s="38"/>
    </row>
    <row r="1110" ht="14.25" customHeight="1">
      <c r="A1110" s="74"/>
      <c r="B1110" s="38"/>
      <c r="C1110" s="38"/>
      <c r="D1110" s="38"/>
      <c r="E1110" s="74"/>
      <c r="F1110" s="74"/>
      <c r="G1110" s="74"/>
      <c r="H1110" s="74"/>
      <c r="I1110" s="74"/>
      <c r="J1110" s="74"/>
      <c r="K1110" s="74"/>
      <c r="L1110" s="74"/>
      <c r="M1110" s="74"/>
      <c r="N1110" s="74"/>
      <c r="O1110" s="74"/>
      <c r="P1110" s="74"/>
      <c r="Q1110" s="74"/>
      <c r="R1110" s="74"/>
      <c r="S1110" s="74"/>
      <c r="T1110" s="74"/>
      <c r="U1110" s="74"/>
      <c r="V1110" s="74"/>
      <c r="W1110" s="74"/>
      <c r="X1110" s="74"/>
      <c r="Y1110" s="74"/>
      <c r="Z1110" s="74"/>
      <c r="AA1110" s="74"/>
      <c r="AB1110" s="74"/>
      <c r="AC1110" s="74"/>
      <c r="AD1110" s="74"/>
      <c r="AE1110" s="74"/>
      <c r="AF1110" s="74"/>
      <c r="AG1110" s="74"/>
      <c r="AH1110" s="74"/>
      <c r="AI1110" s="74"/>
      <c r="AJ1110" s="74"/>
      <c r="AK1110" s="74"/>
      <c r="AL1110" s="38"/>
      <c r="AM1110" s="38"/>
      <c r="AN1110" s="75"/>
      <c r="AO1110" s="75"/>
      <c r="AP1110" s="38"/>
      <c r="AQ1110" s="38"/>
      <c r="AR1110" s="38"/>
      <c r="AS1110" s="38"/>
      <c r="AT1110" s="38"/>
      <c r="AU1110" s="38"/>
      <c r="AV1110" s="38"/>
      <c r="AW1110" s="38"/>
      <c r="AX1110" s="38"/>
      <c r="AY1110" s="38"/>
      <c r="AZ1110" s="38"/>
      <c r="BA1110" s="38"/>
      <c r="BB1110" s="38"/>
      <c r="BC1110" s="38"/>
      <c r="BD1110" s="38"/>
      <c r="BE1110" s="38"/>
      <c r="BF1110" s="38"/>
      <c r="BG1110" s="38"/>
      <c r="BH1110" s="38"/>
      <c r="BI1110" s="38"/>
      <c r="BJ1110" s="38"/>
      <c r="BK1110" s="38"/>
      <c r="BL1110" s="38"/>
      <c r="BM1110" s="38"/>
      <c r="BN1110" s="38"/>
      <c r="BO1110" s="38"/>
      <c r="BP1110" s="38"/>
      <c r="BQ1110" s="38"/>
      <c r="BR1110" s="38"/>
      <c r="BS1110" s="38"/>
      <c r="BT1110" s="38"/>
      <c r="BU1110" s="38"/>
      <c r="BV1110" s="38"/>
    </row>
    <row r="1111" ht="14.25" customHeight="1">
      <c r="A1111" s="74"/>
      <c r="B1111" s="38"/>
      <c r="C1111" s="38"/>
      <c r="D1111" s="38"/>
      <c r="E1111" s="74"/>
      <c r="F1111" s="74"/>
      <c r="G1111" s="74"/>
      <c r="H1111" s="74"/>
      <c r="I1111" s="74"/>
      <c r="J1111" s="74"/>
      <c r="K1111" s="74"/>
      <c r="L1111" s="74"/>
      <c r="M1111" s="74"/>
      <c r="N1111" s="74"/>
      <c r="O1111" s="74"/>
      <c r="P1111" s="74"/>
      <c r="Q1111" s="74"/>
      <c r="R1111" s="74"/>
      <c r="S1111" s="74"/>
      <c r="T1111" s="74"/>
      <c r="U1111" s="74"/>
      <c r="V1111" s="74"/>
      <c r="W1111" s="74"/>
      <c r="X1111" s="74"/>
      <c r="Y1111" s="74"/>
      <c r="Z1111" s="74"/>
      <c r="AA1111" s="74"/>
      <c r="AB1111" s="74"/>
      <c r="AC1111" s="74"/>
      <c r="AD1111" s="74"/>
      <c r="AE1111" s="74"/>
      <c r="AF1111" s="74"/>
      <c r="AG1111" s="74"/>
      <c r="AH1111" s="74"/>
      <c r="AI1111" s="74"/>
      <c r="AJ1111" s="74"/>
      <c r="AK1111" s="74"/>
      <c r="AL1111" s="38"/>
      <c r="AM1111" s="38"/>
      <c r="AN1111" s="75"/>
      <c r="AO1111" s="75"/>
      <c r="AP1111" s="38"/>
      <c r="AQ1111" s="38"/>
      <c r="AR1111" s="38"/>
      <c r="AS1111" s="38"/>
      <c r="AT1111" s="38"/>
      <c r="AU1111" s="38"/>
      <c r="AV1111" s="38"/>
      <c r="AW1111" s="38"/>
      <c r="AX1111" s="38"/>
      <c r="AY1111" s="38"/>
      <c r="AZ1111" s="38"/>
      <c r="BA1111" s="38"/>
      <c r="BB1111" s="38"/>
      <c r="BC1111" s="38"/>
      <c r="BD1111" s="38"/>
      <c r="BE1111" s="38"/>
      <c r="BF1111" s="38"/>
      <c r="BG1111" s="38"/>
      <c r="BH1111" s="38"/>
      <c r="BI1111" s="38"/>
      <c r="BJ1111" s="38"/>
      <c r="BK1111" s="38"/>
      <c r="BL1111" s="38"/>
      <c r="BM1111" s="38"/>
      <c r="BN1111" s="38"/>
      <c r="BO1111" s="38"/>
      <c r="BP1111" s="38"/>
      <c r="BQ1111" s="38"/>
      <c r="BR1111" s="38"/>
      <c r="BS1111" s="38"/>
      <c r="BT1111" s="38"/>
      <c r="BU1111" s="38"/>
      <c r="BV1111" s="38"/>
    </row>
    <row r="1112" ht="14.25" customHeight="1">
      <c r="A1112" s="74"/>
      <c r="B1112" s="38"/>
      <c r="C1112" s="38"/>
      <c r="D1112" s="38"/>
      <c r="E1112" s="74"/>
      <c r="F1112" s="74"/>
      <c r="G1112" s="74"/>
      <c r="H1112" s="74"/>
      <c r="I1112" s="74"/>
      <c r="J1112" s="74"/>
      <c r="K1112" s="74"/>
      <c r="L1112" s="74"/>
      <c r="M1112" s="74"/>
      <c r="N1112" s="74"/>
      <c r="O1112" s="74"/>
      <c r="P1112" s="74"/>
      <c r="Q1112" s="74"/>
      <c r="R1112" s="74"/>
      <c r="S1112" s="74"/>
      <c r="T1112" s="74"/>
      <c r="U1112" s="74"/>
      <c r="V1112" s="74"/>
      <c r="W1112" s="74"/>
      <c r="X1112" s="74"/>
      <c r="Y1112" s="74"/>
      <c r="Z1112" s="74"/>
      <c r="AA1112" s="74"/>
      <c r="AB1112" s="74"/>
      <c r="AC1112" s="74"/>
      <c r="AD1112" s="74"/>
      <c r="AE1112" s="74"/>
      <c r="AF1112" s="74"/>
      <c r="AG1112" s="74"/>
      <c r="AH1112" s="74"/>
      <c r="AI1112" s="74"/>
      <c r="AJ1112" s="74"/>
      <c r="AK1112" s="74"/>
      <c r="AL1112" s="38"/>
      <c r="AM1112" s="38"/>
      <c r="AN1112" s="75"/>
      <c r="AO1112" s="75"/>
      <c r="AP1112" s="38"/>
      <c r="AQ1112" s="38"/>
      <c r="AR1112" s="38"/>
      <c r="AS1112" s="38"/>
      <c r="AT1112" s="38"/>
      <c r="AU1112" s="38"/>
      <c r="AV1112" s="38"/>
      <c r="AW1112" s="38"/>
      <c r="AX1112" s="38"/>
      <c r="AY1112" s="38"/>
      <c r="AZ1112" s="38"/>
      <c r="BA1112" s="38"/>
      <c r="BB1112" s="38"/>
      <c r="BC1112" s="38"/>
      <c r="BD1112" s="38"/>
      <c r="BE1112" s="38"/>
      <c r="BF1112" s="38"/>
      <c r="BG1112" s="38"/>
      <c r="BH1112" s="38"/>
      <c r="BI1112" s="38"/>
      <c r="BJ1112" s="38"/>
      <c r="BK1112" s="38"/>
      <c r="BL1112" s="38"/>
      <c r="BM1112" s="38"/>
      <c r="BN1112" s="38"/>
      <c r="BO1112" s="38"/>
      <c r="BP1112" s="38"/>
      <c r="BQ1112" s="38"/>
      <c r="BR1112" s="38"/>
      <c r="BS1112" s="38"/>
      <c r="BT1112" s="38"/>
      <c r="BU1112" s="38"/>
      <c r="BV1112" s="38"/>
    </row>
    <row r="1113" ht="14.25" customHeight="1">
      <c r="A1113" s="74"/>
      <c r="B1113" s="38"/>
      <c r="C1113" s="38"/>
      <c r="D1113" s="38"/>
      <c r="E1113" s="74"/>
      <c r="F1113" s="74"/>
      <c r="G1113" s="74"/>
      <c r="H1113" s="74"/>
      <c r="I1113" s="74"/>
      <c r="J1113" s="74"/>
      <c r="K1113" s="74"/>
      <c r="L1113" s="74"/>
      <c r="M1113" s="74"/>
      <c r="N1113" s="74"/>
      <c r="O1113" s="74"/>
      <c r="P1113" s="74"/>
      <c r="Q1113" s="74"/>
      <c r="R1113" s="74"/>
      <c r="S1113" s="74"/>
      <c r="T1113" s="74"/>
      <c r="U1113" s="74"/>
      <c r="V1113" s="74"/>
      <c r="W1113" s="74"/>
      <c r="X1113" s="74"/>
      <c r="Y1113" s="74"/>
      <c r="Z1113" s="74"/>
      <c r="AA1113" s="74"/>
      <c r="AB1113" s="74"/>
      <c r="AC1113" s="74"/>
      <c r="AD1113" s="74"/>
      <c r="AE1113" s="74"/>
      <c r="AF1113" s="74"/>
      <c r="AG1113" s="74"/>
      <c r="AH1113" s="74"/>
      <c r="AI1113" s="74"/>
      <c r="AJ1113" s="74"/>
      <c r="AK1113" s="74"/>
      <c r="AL1113" s="38"/>
      <c r="AM1113" s="38"/>
      <c r="AN1113" s="75"/>
      <c r="AO1113" s="75"/>
      <c r="AP1113" s="38"/>
      <c r="AQ1113" s="38"/>
      <c r="AR1113" s="38"/>
      <c r="AS1113" s="38"/>
      <c r="AT1113" s="38"/>
      <c r="AU1113" s="38"/>
      <c r="AV1113" s="38"/>
      <c r="AW1113" s="38"/>
      <c r="AX1113" s="38"/>
      <c r="AY1113" s="38"/>
      <c r="AZ1113" s="38"/>
      <c r="BA1113" s="38"/>
      <c r="BB1113" s="38"/>
      <c r="BC1113" s="38"/>
      <c r="BD1113" s="38"/>
      <c r="BE1113" s="38"/>
      <c r="BF1113" s="38"/>
      <c r="BG1113" s="38"/>
      <c r="BH1113" s="38"/>
      <c r="BI1113" s="38"/>
      <c r="BJ1113" s="38"/>
      <c r="BK1113" s="38"/>
      <c r="BL1113" s="38"/>
      <c r="BM1113" s="38"/>
      <c r="BN1113" s="38"/>
      <c r="BO1113" s="38"/>
      <c r="BP1113" s="38"/>
      <c r="BQ1113" s="38"/>
      <c r="BR1113" s="38"/>
      <c r="BS1113" s="38"/>
      <c r="BT1113" s="38"/>
      <c r="BU1113" s="38"/>
      <c r="BV1113" s="38"/>
    </row>
    <row r="1114" ht="14.25" customHeight="1">
      <c r="A1114" s="74"/>
      <c r="B1114" s="38"/>
      <c r="C1114" s="38"/>
      <c r="D1114" s="38"/>
      <c r="E1114" s="74"/>
      <c r="F1114" s="74"/>
      <c r="G1114" s="74"/>
      <c r="H1114" s="74"/>
      <c r="I1114" s="74"/>
      <c r="J1114" s="74"/>
      <c r="K1114" s="74"/>
      <c r="L1114" s="74"/>
      <c r="M1114" s="74"/>
      <c r="N1114" s="74"/>
      <c r="O1114" s="74"/>
      <c r="P1114" s="74"/>
      <c r="Q1114" s="74"/>
      <c r="R1114" s="74"/>
      <c r="S1114" s="74"/>
      <c r="T1114" s="74"/>
      <c r="U1114" s="74"/>
      <c r="V1114" s="74"/>
      <c r="W1114" s="74"/>
      <c r="X1114" s="74"/>
      <c r="Y1114" s="74"/>
      <c r="Z1114" s="74"/>
      <c r="AA1114" s="74"/>
      <c r="AB1114" s="74"/>
      <c r="AC1114" s="74"/>
      <c r="AD1114" s="74"/>
      <c r="AE1114" s="74"/>
      <c r="AF1114" s="74"/>
      <c r="AG1114" s="74"/>
      <c r="AH1114" s="74"/>
      <c r="AI1114" s="74"/>
      <c r="AJ1114" s="74"/>
      <c r="AK1114" s="74"/>
      <c r="AL1114" s="38"/>
      <c r="AM1114" s="38"/>
      <c r="AN1114" s="75"/>
      <c r="AO1114" s="75"/>
      <c r="AP1114" s="38"/>
      <c r="AQ1114" s="38"/>
      <c r="AR1114" s="38"/>
      <c r="AS1114" s="38"/>
      <c r="AT1114" s="38"/>
      <c r="AU1114" s="38"/>
      <c r="AV1114" s="38"/>
      <c r="AW1114" s="38"/>
      <c r="AX1114" s="38"/>
      <c r="AY1114" s="38"/>
      <c r="AZ1114" s="38"/>
      <c r="BA1114" s="38"/>
      <c r="BB1114" s="38"/>
      <c r="BC1114" s="38"/>
      <c r="BD1114" s="38"/>
      <c r="BE1114" s="38"/>
      <c r="BF1114" s="38"/>
      <c r="BG1114" s="38"/>
      <c r="BH1114" s="38"/>
      <c r="BI1114" s="38"/>
      <c r="BJ1114" s="38"/>
      <c r="BK1114" s="38"/>
      <c r="BL1114" s="38"/>
      <c r="BM1114" s="38"/>
      <c r="BN1114" s="38"/>
      <c r="BO1114" s="38"/>
      <c r="BP1114" s="38"/>
      <c r="BQ1114" s="38"/>
      <c r="BR1114" s="38"/>
      <c r="BS1114" s="38"/>
      <c r="BT1114" s="38"/>
      <c r="BU1114" s="38"/>
      <c r="BV1114" s="38"/>
    </row>
    <row r="1115" ht="14.25" customHeight="1">
      <c r="A1115" s="74"/>
      <c r="B1115" s="38"/>
      <c r="C1115" s="38"/>
      <c r="D1115" s="38"/>
      <c r="E1115" s="74"/>
      <c r="F1115" s="74"/>
      <c r="G1115" s="74"/>
      <c r="H1115" s="74"/>
      <c r="I1115" s="74"/>
      <c r="J1115" s="74"/>
      <c r="K1115" s="74"/>
      <c r="L1115" s="74"/>
      <c r="M1115" s="74"/>
      <c r="N1115" s="74"/>
      <c r="O1115" s="74"/>
      <c r="P1115" s="74"/>
      <c r="Q1115" s="74"/>
      <c r="R1115" s="74"/>
      <c r="S1115" s="74"/>
      <c r="T1115" s="74"/>
      <c r="U1115" s="74"/>
      <c r="V1115" s="74"/>
      <c r="W1115" s="74"/>
      <c r="X1115" s="74"/>
      <c r="Y1115" s="74"/>
      <c r="Z1115" s="74"/>
      <c r="AA1115" s="74"/>
      <c r="AB1115" s="74"/>
      <c r="AC1115" s="74"/>
      <c r="AD1115" s="74"/>
      <c r="AE1115" s="74"/>
      <c r="AF1115" s="74"/>
      <c r="AG1115" s="74"/>
      <c r="AH1115" s="74"/>
      <c r="AI1115" s="74"/>
      <c r="AJ1115" s="74"/>
      <c r="AK1115" s="74"/>
      <c r="AL1115" s="38"/>
      <c r="AM1115" s="38"/>
      <c r="AN1115" s="75"/>
      <c r="AO1115" s="75"/>
      <c r="AP1115" s="38"/>
      <c r="AQ1115" s="38"/>
      <c r="AR1115" s="38"/>
      <c r="AS1115" s="38"/>
      <c r="AT1115" s="38"/>
      <c r="AU1115" s="38"/>
      <c r="AV1115" s="38"/>
      <c r="AW1115" s="38"/>
      <c r="AX1115" s="38"/>
      <c r="AY1115" s="38"/>
      <c r="AZ1115" s="38"/>
      <c r="BA1115" s="38"/>
      <c r="BB1115" s="38"/>
      <c r="BC1115" s="38"/>
      <c r="BD1115" s="38"/>
      <c r="BE1115" s="38"/>
      <c r="BF1115" s="38"/>
      <c r="BG1115" s="38"/>
      <c r="BH1115" s="38"/>
      <c r="BI1115" s="38"/>
      <c r="BJ1115" s="38"/>
      <c r="BK1115" s="38"/>
      <c r="BL1115" s="38"/>
      <c r="BM1115" s="38"/>
      <c r="BN1115" s="38"/>
      <c r="BO1115" s="38"/>
      <c r="BP1115" s="38"/>
      <c r="BQ1115" s="38"/>
      <c r="BR1115" s="38"/>
      <c r="BS1115" s="38"/>
      <c r="BT1115" s="38"/>
      <c r="BU1115" s="38"/>
      <c r="BV1115" s="38"/>
    </row>
    <row r="1116" ht="14.25" customHeight="1">
      <c r="A1116" s="74"/>
      <c r="B1116" s="38"/>
      <c r="C1116" s="38"/>
      <c r="D1116" s="38"/>
      <c r="E1116" s="74"/>
      <c r="F1116" s="74"/>
      <c r="G1116" s="74"/>
      <c r="H1116" s="74"/>
      <c r="I1116" s="74"/>
      <c r="J1116" s="74"/>
      <c r="K1116" s="74"/>
      <c r="L1116" s="74"/>
      <c r="M1116" s="74"/>
      <c r="N1116" s="74"/>
      <c r="O1116" s="74"/>
      <c r="P1116" s="74"/>
      <c r="Q1116" s="74"/>
      <c r="R1116" s="74"/>
      <c r="S1116" s="74"/>
      <c r="T1116" s="74"/>
      <c r="U1116" s="74"/>
      <c r="V1116" s="74"/>
      <c r="W1116" s="74"/>
      <c r="X1116" s="74"/>
      <c r="Y1116" s="74"/>
      <c r="Z1116" s="74"/>
      <c r="AA1116" s="74"/>
      <c r="AB1116" s="74"/>
      <c r="AC1116" s="74"/>
      <c r="AD1116" s="74"/>
      <c r="AE1116" s="74"/>
      <c r="AF1116" s="74"/>
      <c r="AG1116" s="74"/>
      <c r="AH1116" s="74"/>
      <c r="AI1116" s="74"/>
      <c r="AJ1116" s="74"/>
      <c r="AK1116" s="74"/>
      <c r="AL1116" s="38"/>
      <c r="AM1116" s="38"/>
      <c r="AN1116" s="75"/>
      <c r="AO1116" s="75"/>
      <c r="AP1116" s="38"/>
      <c r="AQ1116" s="38"/>
      <c r="AR1116" s="38"/>
      <c r="AS1116" s="38"/>
      <c r="AT1116" s="38"/>
      <c r="AU1116" s="38"/>
      <c r="AV1116" s="38"/>
      <c r="AW1116" s="38"/>
      <c r="AX1116" s="38"/>
      <c r="AY1116" s="38"/>
      <c r="AZ1116" s="38"/>
      <c r="BA1116" s="38"/>
      <c r="BB1116" s="38"/>
      <c r="BC1116" s="38"/>
      <c r="BD1116" s="38"/>
      <c r="BE1116" s="38"/>
      <c r="BF1116" s="38"/>
      <c r="BG1116" s="38"/>
      <c r="BH1116" s="38"/>
      <c r="BI1116" s="38"/>
      <c r="BJ1116" s="38"/>
      <c r="BK1116" s="38"/>
      <c r="BL1116" s="38"/>
      <c r="BM1116" s="38"/>
      <c r="BN1116" s="38"/>
      <c r="BO1116" s="38"/>
      <c r="BP1116" s="38"/>
      <c r="BQ1116" s="38"/>
      <c r="BR1116" s="38"/>
      <c r="BS1116" s="38"/>
      <c r="BT1116" s="38"/>
      <c r="BU1116" s="38"/>
      <c r="BV1116" s="38"/>
    </row>
    <row r="1117" ht="14.25" customHeight="1">
      <c r="A1117" s="74"/>
      <c r="B1117" s="38"/>
      <c r="C1117" s="38"/>
      <c r="D1117" s="38"/>
      <c r="E1117" s="74"/>
      <c r="F1117" s="74"/>
      <c r="G1117" s="74"/>
      <c r="H1117" s="74"/>
      <c r="I1117" s="74"/>
      <c r="J1117" s="74"/>
      <c r="K1117" s="74"/>
      <c r="L1117" s="74"/>
      <c r="M1117" s="74"/>
      <c r="N1117" s="74"/>
      <c r="O1117" s="74"/>
      <c r="P1117" s="74"/>
      <c r="Q1117" s="74"/>
      <c r="R1117" s="74"/>
      <c r="S1117" s="74"/>
      <c r="T1117" s="74"/>
      <c r="U1117" s="74"/>
      <c r="V1117" s="74"/>
      <c r="W1117" s="74"/>
      <c r="X1117" s="74"/>
      <c r="Y1117" s="74"/>
      <c r="Z1117" s="74"/>
      <c r="AA1117" s="74"/>
      <c r="AB1117" s="74"/>
      <c r="AC1117" s="74"/>
      <c r="AD1117" s="74"/>
      <c r="AE1117" s="74"/>
      <c r="AF1117" s="74"/>
      <c r="AG1117" s="74"/>
      <c r="AH1117" s="74"/>
      <c r="AI1117" s="74"/>
      <c r="AJ1117" s="74"/>
      <c r="AK1117" s="74"/>
      <c r="AL1117" s="38"/>
      <c r="AM1117" s="38"/>
      <c r="AN1117" s="75"/>
      <c r="AO1117" s="75"/>
      <c r="AP1117" s="38"/>
      <c r="AQ1117" s="38"/>
      <c r="AR1117" s="38"/>
      <c r="AS1117" s="38"/>
      <c r="AT1117" s="38"/>
      <c r="AU1117" s="38"/>
      <c r="AV1117" s="38"/>
      <c r="AW1117" s="38"/>
      <c r="AX1117" s="38"/>
      <c r="AY1117" s="38"/>
      <c r="AZ1117" s="38"/>
      <c r="BA1117" s="38"/>
      <c r="BB1117" s="38"/>
      <c r="BC1117" s="38"/>
      <c r="BD1117" s="38"/>
      <c r="BE1117" s="38"/>
      <c r="BF1117" s="38"/>
      <c r="BG1117" s="38"/>
      <c r="BH1117" s="38"/>
      <c r="BI1117" s="38"/>
      <c r="BJ1117" s="38"/>
      <c r="BK1117" s="38"/>
      <c r="BL1117" s="38"/>
      <c r="BM1117" s="38"/>
      <c r="BN1117" s="38"/>
      <c r="BO1117" s="38"/>
      <c r="BP1117" s="38"/>
      <c r="BQ1117" s="38"/>
      <c r="BR1117" s="38"/>
      <c r="BS1117" s="38"/>
      <c r="BT1117" s="38"/>
      <c r="BU1117" s="38"/>
      <c r="BV1117" s="38"/>
    </row>
    <row r="1118" ht="14.25" customHeight="1">
      <c r="A1118" s="74"/>
      <c r="B1118" s="38"/>
      <c r="C1118" s="38"/>
      <c r="D1118" s="38"/>
      <c r="E1118" s="74"/>
      <c r="F1118" s="74"/>
      <c r="G1118" s="74"/>
      <c r="H1118" s="74"/>
      <c r="I1118" s="74"/>
      <c r="J1118" s="74"/>
      <c r="K1118" s="74"/>
      <c r="L1118" s="74"/>
      <c r="M1118" s="74"/>
      <c r="N1118" s="74"/>
      <c r="O1118" s="74"/>
      <c r="P1118" s="74"/>
      <c r="Q1118" s="74"/>
      <c r="R1118" s="74"/>
      <c r="S1118" s="74"/>
      <c r="T1118" s="74"/>
      <c r="U1118" s="74"/>
      <c r="V1118" s="74"/>
      <c r="W1118" s="74"/>
      <c r="X1118" s="74"/>
      <c r="Y1118" s="74"/>
      <c r="Z1118" s="74"/>
      <c r="AA1118" s="74"/>
      <c r="AB1118" s="74"/>
      <c r="AC1118" s="74"/>
      <c r="AD1118" s="74"/>
      <c r="AE1118" s="74"/>
      <c r="AF1118" s="74"/>
      <c r="AG1118" s="74"/>
      <c r="AH1118" s="74"/>
      <c r="AI1118" s="74"/>
      <c r="AJ1118" s="74"/>
      <c r="AK1118" s="74"/>
      <c r="AL1118" s="38"/>
      <c r="AM1118" s="38"/>
      <c r="AN1118" s="75"/>
      <c r="AO1118" s="75"/>
      <c r="AP1118" s="38"/>
      <c r="AQ1118" s="38"/>
      <c r="AR1118" s="38"/>
      <c r="AS1118" s="38"/>
      <c r="AT1118" s="38"/>
      <c r="AU1118" s="38"/>
      <c r="AV1118" s="38"/>
      <c r="AW1118" s="38"/>
      <c r="AX1118" s="38"/>
      <c r="AY1118" s="38"/>
      <c r="AZ1118" s="38"/>
      <c r="BA1118" s="38"/>
      <c r="BB1118" s="38"/>
      <c r="BC1118" s="38"/>
      <c r="BD1118" s="38"/>
      <c r="BE1118" s="38"/>
      <c r="BF1118" s="38"/>
      <c r="BG1118" s="38"/>
      <c r="BH1118" s="38"/>
      <c r="BI1118" s="38"/>
      <c r="BJ1118" s="38"/>
      <c r="BK1118" s="38"/>
      <c r="BL1118" s="38"/>
      <c r="BM1118" s="38"/>
      <c r="BN1118" s="38"/>
      <c r="BO1118" s="38"/>
      <c r="BP1118" s="38"/>
      <c r="BQ1118" s="38"/>
      <c r="BR1118" s="38"/>
      <c r="BS1118" s="38"/>
      <c r="BT1118" s="38"/>
      <c r="BU1118" s="38"/>
      <c r="BV1118" s="38"/>
    </row>
    <row r="1119" ht="14.25" customHeight="1">
      <c r="A1119" s="74"/>
      <c r="B1119" s="38"/>
      <c r="C1119" s="38"/>
      <c r="D1119" s="38"/>
      <c r="E1119" s="74"/>
      <c r="F1119" s="74"/>
      <c r="G1119" s="74"/>
      <c r="H1119" s="74"/>
      <c r="I1119" s="74"/>
      <c r="J1119" s="74"/>
      <c r="K1119" s="74"/>
      <c r="L1119" s="74"/>
      <c r="M1119" s="74"/>
      <c r="N1119" s="74"/>
      <c r="O1119" s="74"/>
      <c r="P1119" s="74"/>
      <c r="Q1119" s="74"/>
      <c r="R1119" s="74"/>
      <c r="S1119" s="74"/>
      <c r="T1119" s="74"/>
      <c r="U1119" s="74"/>
      <c r="V1119" s="74"/>
      <c r="W1119" s="74"/>
      <c r="X1119" s="74"/>
      <c r="Y1119" s="74"/>
      <c r="Z1119" s="74"/>
      <c r="AA1119" s="74"/>
      <c r="AB1119" s="74"/>
      <c r="AC1119" s="74"/>
      <c r="AD1119" s="74"/>
      <c r="AE1119" s="74"/>
      <c r="AF1119" s="74"/>
      <c r="AG1119" s="74"/>
      <c r="AH1119" s="74"/>
      <c r="AI1119" s="74"/>
      <c r="AJ1119" s="74"/>
      <c r="AK1119" s="74"/>
      <c r="AL1119" s="38"/>
      <c r="AM1119" s="38"/>
      <c r="AN1119" s="75"/>
      <c r="AO1119" s="75"/>
      <c r="AP1119" s="38"/>
      <c r="AQ1119" s="38"/>
      <c r="AR1119" s="38"/>
      <c r="AS1119" s="38"/>
      <c r="AT1119" s="38"/>
      <c r="AU1119" s="38"/>
      <c r="AV1119" s="38"/>
      <c r="AW1119" s="38"/>
      <c r="AX1119" s="38"/>
      <c r="AY1119" s="38"/>
      <c r="AZ1119" s="38"/>
      <c r="BA1119" s="38"/>
      <c r="BB1119" s="38"/>
      <c r="BC1119" s="38"/>
      <c r="BD1119" s="38"/>
      <c r="BE1119" s="38"/>
      <c r="BF1119" s="38"/>
      <c r="BG1119" s="38"/>
      <c r="BH1119" s="38"/>
      <c r="BI1119" s="38"/>
      <c r="BJ1119" s="38"/>
      <c r="BK1119" s="38"/>
      <c r="BL1119" s="38"/>
      <c r="BM1119" s="38"/>
      <c r="BN1119" s="38"/>
      <c r="BO1119" s="38"/>
      <c r="BP1119" s="38"/>
      <c r="BQ1119" s="38"/>
      <c r="BR1119" s="38"/>
      <c r="BS1119" s="38"/>
      <c r="BT1119" s="38"/>
      <c r="BU1119" s="38"/>
      <c r="BV1119" s="38"/>
    </row>
    <row r="1120" ht="14.25" customHeight="1">
      <c r="A1120" s="74"/>
      <c r="B1120" s="38"/>
      <c r="C1120" s="38"/>
      <c r="D1120" s="38"/>
      <c r="E1120" s="74"/>
      <c r="F1120" s="74"/>
      <c r="G1120" s="74"/>
      <c r="H1120" s="74"/>
      <c r="I1120" s="74"/>
      <c r="J1120" s="74"/>
      <c r="K1120" s="74"/>
      <c r="L1120" s="74"/>
      <c r="M1120" s="74"/>
      <c r="N1120" s="74"/>
      <c r="O1120" s="74"/>
      <c r="P1120" s="74"/>
      <c r="Q1120" s="74"/>
      <c r="R1120" s="74"/>
      <c r="S1120" s="74"/>
      <c r="T1120" s="74"/>
      <c r="U1120" s="74"/>
      <c r="V1120" s="74"/>
      <c r="W1120" s="74"/>
      <c r="X1120" s="74"/>
      <c r="Y1120" s="74"/>
      <c r="Z1120" s="74"/>
      <c r="AA1120" s="74"/>
      <c r="AB1120" s="74"/>
      <c r="AC1120" s="74"/>
      <c r="AD1120" s="74"/>
      <c r="AE1120" s="74"/>
      <c r="AF1120" s="74"/>
      <c r="AG1120" s="74"/>
      <c r="AH1120" s="74"/>
      <c r="AI1120" s="74"/>
      <c r="AJ1120" s="74"/>
      <c r="AK1120" s="74"/>
      <c r="AL1120" s="38"/>
      <c r="AM1120" s="38"/>
      <c r="AN1120" s="75"/>
      <c r="AO1120" s="75"/>
      <c r="AP1120" s="38"/>
      <c r="AQ1120" s="38"/>
      <c r="AR1120" s="38"/>
      <c r="AS1120" s="38"/>
      <c r="AT1120" s="38"/>
      <c r="AU1120" s="38"/>
      <c r="AV1120" s="38"/>
      <c r="AW1120" s="38"/>
      <c r="AX1120" s="38"/>
      <c r="AY1120" s="38"/>
      <c r="AZ1120" s="38"/>
      <c r="BA1120" s="38"/>
      <c r="BB1120" s="38"/>
      <c r="BC1120" s="38"/>
      <c r="BD1120" s="38"/>
      <c r="BE1120" s="38"/>
      <c r="BF1120" s="38"/>
      <c r="BG1120" s="38"/>
      <c r="BH1120" s="38"/>
      <c r="BI1120" s="38"/>
      <c r="BJ1120" s="38"/>
      <c r="BK1120" s="38"/>
      <c r="BL1120" s="38"/>
      <c r="BM1120" s="38"/>
      <c r="BN1120" s="38"/>
      <c r="BO1120" s="38"/>
      <c r="BP1120" s="38"/>
      <c r="BQ1120" s="38"/>
      <c r="BR1120" s="38"/>
      <c r="BS1120" s="38"/>
      <c r="BT1120" s="38"/>
      <c r="BU1120" s="38"/>
      <c r="BV1120" s="38"/>
    </row>
    <row r="1121" ht="14.25" customHeight="1">
      <c r="A1121" s="74"/>
      <c r="B1121" s="38"/>
      <c r="C1121" s="38"/>
      <c r="D1121" s="38"/>
      <c r="E1121" s="74"/>
      <c r="F1121" s="74"/>
      <c r="G1121" s="74"/>
      <c r="H1121" s="74"/>
      <c r="I1121" s="74"/>
      <c r="J1121" s="74"/>
      <c r="K1121" s="74"/>
      <c r="L1121" s="74"/>
      <c r="M1121" s="74"/>
      <c r="N1121" s="74"/>
      <c r="O1121" s="74"/>
      <c r="P1121" s="74"/>
      <c r="Q1121" s="74"/>
      <c r="R1121" s="74"/>
      <c r="S1121" s="74"/>
      <c r="T1121" s="74"/>
      <c r="U1121" s="74"/>
      <c r="V1121" s="74"/>
      <c r="W1121" s="74"/>
      <c r="X1121" s="74"/>
      <c r="Y1121" s="74"/>
      <c r="Z1121" s="74"/>
      <c r="AA1121" s="74"/>
      <c r="AB1121" s="74"/>
      <c r="AC1121" s="74"/>
      <c r="AD1121" s="74"/>
      <c r="AE1121" s="74"/>
      <c r="AF1121" s="74"/>
      <c r="AG1121" s="74"/>
      <c r="AH1121" s="74"/>
      <c r="AI1121" s="74"/>
      <c r="AJ1121" s="74"/>
      <c r="AK1121" s="74"/>
      <c r="AL1121" s="38"/>
      <c r="AM1121" s="38"/>
      <c r="AN1121" s="75"/>
      <c r="AO1121" s="75"/>
      <c r="AP1121" s="38"/>
      <c r="AQ1121" s="38"/>
      <c r="AR1121" s="38"/>
      <c r="AS1121" s="38"/>
      <c r="AT1121" s="38"/>
      <c r="AU1121" s="38"/>
      <c r="AV1121" s="38"/>
      <c r="AW1121" s="38"/>
      <c r="AX1121" s="38"/>
      <c r="AY1121" s="38"/>
      <c r="AZ1121" s="38"/>
      <c r="BA1121" s="38"/>
      <c r="BB1121" s="38"/>
      <c r="BC1121" s="38"/>
      <c r="BD1121" s="38"/>
      <c r="BE1121" s="38"/>
      <c r="BF1121" s="38"/>
      <c r="BG1121" s="38"/>
      <c r="BH1121" s="38"/>
      <c r="BI1121" s="38"/>
      <c r="BJ1121" s="38"/>
      <c r="BK1121" s="38"/>
      <c r="BL1121" s="38"/>
      <c r="BM1121" s="38"/>
      <c r="BN1121" s="38"/>
      <c r="BO1121" s="38"/>
      <c r="BP1121" s="38"/>
      <c r="BQ1121" s="38"/>
      <c r="BR1121" s="38"/>
      <c r="BS1121" s="38"/>
      <c r="BT1121" s="38"/>
      <c r="BU1121" s="38"/>
      <c r="BV1121" s="38"/>
    </row>
    <row r="1122" ht="14.25" customHeight="1">
      <c r="A1122" s="74"/>
      <c r="B1122" s="38"/>
      <c r="C1122" s="38"/>
      <c r="D1122" s="38"/>
      <c r="E1122" s="74"/>
      <c r="F1122" s="74"/>
      <c r="G1122" s="74"/>
      <c r="H1122" s="74"/>
      <c r="I1122" s="74"/>
      <c r="J1122" s="74"/>
      <c r="K1122" s="74"/>
      <c r="L1122" s="74"/>
      <c r="M1122" s="74"/>
      <c r="N1122" s="74"/>
      <c r="O1122" s="74"/>
      <c r="P1122" s="74"/>
      <c r="Q1122" s="74"/>
      <c r="R1122" s="74"/>
      <c r="S1122" s="74"/>
      <c r="T1122" s="74"/>
      <c r="U1122" s="74"/>
      <c r="V1122" s="74"/>
      <c r="W1122" s="74"/>
      <c r="X1122" s="74"/>
      <c r="Y1122" s="74"/>
      <c r="Z1122" s="74"/>
      <c r="AA1122" s="74"/>
      <c r="AB1122" s="74"/>
      <c r="AC1122" s="74"/>
      <c r="AD1122" s="74"/>
      <c r="AE1122" s="74"/>
      <c r="AF1122" s="74"/>
      <c r="AG1122" s="74"/>
      <c r="AH1122" s="74"/>
      <c r="AI1122" s="74"/>
      <c r="AJ1122" s="74"/>
      <c r="AK1122" s="74"/>
      <c r="AL1122" s="38"/>
      <c r="AM1122" s="38"/>
      <c r="AN1122" s="75"/>
      <c r="AO1122" s="75"/>
      <c r="AP1122" s="38"/>
      <c r="AQ1122" s="38"/>
      <c r="AR1122" s="38"/>
      <c r="AS1122" s="38"/>
      <c r="AT1122" s="38"/>
      <c r="AU1122" s="38"/>
      <c r="AV1122" s="38"/>
      <c r="AW1122" s="38"/>
      <c r="AX1122" s="38"/>
      <c r="AY1122" s="38"/>
      <c r="AZ1122" s="38"/>
      <c r="BA1122" s="38"/>
      <c r="BB1122" s="38"/>
      <c r="BC1122" s="38"/>
      <c r="BD1122" s="38"/>
      <c r="BE1122" s="38"/>
      <c r="BF1122" s="38"/>
      <c r="BG1122" s="38"/>
      <c r="BH1122" s="38"/>
      <c r="BI1122" s="38"/>
      <c r="BJ1122" s="38"/>
      <c r="BK1122" s="38"/>
      <c r="BL1122" s="38"/>
      <c r="BM1122" s="38"/>
      <c r="BN1122" s="38"/>
      <c r="BO1122" s="38"/>
      <c r="BP1122" s="38"/>
      <c r="BQ1122" s="38"/>
      <c r="BR1122" s="38"/>
      <c r="BS1122" s="38"/>
      <c r="BT1122" s="38"/>
      <c r="BU1122" s="38"/>
      <c r="BV1122" s="38"/>
    </row>
    <row r="1123" ht="14.25" customHeight="1">
      <c r="A1123" s="74"/>
      <c r="B1123" s="38"/>
      <c r="C1123" s="38"/>
      <c r="D1123" s="38"/>
      <c r="E1123" s="74"/>
      <c r="F1123" s="74"/>
      <c r="G1123" s="74"/>
      <c r="H1123" s="74"/>
      <c r="I1123" s="74"/>
      <c r="J1123" s="74"/>
      <c r="K1123" s="74"/>
      <c r="L1123" s="74"/>
      <c r="M1123" s="74"/>
      <c r="N1123" s="74"/>
      <c r="O1123" s="74"/>
      <c r="P1123" s="74"/>
      <c r="Q1123" s="74"/>
      <c r="R1123" s="74"/>
      <c r="S1123" s="74"/>
      <c r="T1123" s="74"/>
      <c r="U1123" s="74"/>
      <c r="V1123" s="74"/>
      <c r="W1123" s="74"/>
      <c r="X1123" s="74"/>
      <c r="Y1123" s="74"/>
      <c r="Z1123" s="74"/>
      <c r="AA1123" s="74"/>
      <c r="AB1123" s="74"/>
      <c r="AC1123" s="74"/>
      <c r="AD1123" s="74"/>
      <c r="AE1123" s="74"/>
      <c r="AF1123" s="74"/>
      <c r="AG1123" s="74"/>
      <c r="AH1123" s="74"/>
      <c r="AI1123" s="74"/>
      <c r="AJ1123" s="74"/>
      <c r="AK1123" s="74"/>
      <c r="AL1123" s="38"/>
      <c r="AM1123" s="38"/>
      <c r="AN1123" s="75"/>
      <c r="AO1123" s="75"/>
      <c r="AP1123" s="38"/>
      <c r="AQ1123" s="38"/>
      <c r="AR1123" s="38"/>
      <c r="AS1123" s="38"/>
      <c r="AT1123" s="38"/>
      <c r="AU1123" s="38"/>
      <c r="AV1123" s="38"/>
      <c r="AW1123" s="38"/>
      <c r="AX1123" s="38"/>
      <c r="AY1123" s="38"/>
      <c r="AZ1123" s="38"/>
      <c r="BA1123" s="38"/>
      <c r="BB1123" s="38"/>
      <c r="BC1123" s="38"/>
      <c r="BD1123" s="38"/>
      <c r="BE1123" s="38"/>
      <c r="BF1123" s="38"/>
      <c r="BG1123" s="38"/>
      <c r="BH1123" s="38"/>
      <c r="BI1123" s="38"/>
      <c r="BJ1123" s="38"/>
      <c r="BK1123" s="38"/>
      <c r="BL1123" s="38"/>
      <c r="BM1123" s="38"/>
      <c r="BN1123" s="38"/>
      <c r="BO1123" s="38"/>
      <c r="BP1123" s="38"/>
      <c r="BQ1123" s="38"/>
      <c r="BR1123" s="38"/>
      <c r="BS1123" s="38"/>
      <c r="BT1123" s="38"/>
      <c r="BU1123" s="38"/>
      <c r="BV1123" s="38"/>
    </row>
    <row r="1124" ht="14.25" customHeight="1">
      <c r="A1124" s="74"/>
      <c r="B1124" s="38"/>
      <c r="C1124" s="38"/>
      <c r="D1124" s="38"/>
      <c r="E1124" s="74"/>
      <c r="F1124" s="74"/>
      <c r="G1124" s="74"/>
      <c r="H1124" s="74"/>
      <c r="I1124" s="74"/>
      <c r="J1124" s="74"/>
      <c r="K1124" s="74"/>
      <c r="L1124" s="74"/>
      <c r="M1124" s="74"/>
      <c r="N1124" s="74"/>
      <c r="O1124" s="74"/>
      <c r="P1124" s="74"/>
      <c r="Q1124" s="74"/>
      <c r="R1124" s="74"/>
      <c r="S1124" s="74"/>
      <c r="T1124" s="74"/>
      <c r="U1124" s="74"/>
      <c r="V1124" s="74"/>
      <c r="W1124" s="74"/>
      <c r="X1124" s="74"/>
      <c r="Y1124" s="74"/>
      <c r="Z1124" s="74"/>
      <c r="AA1124" s="74"/>
      <c r="AB1124" s="74"/>
      <c r="AC1124" s="74"/>
      <c r="AD1124" s="74"/>
      <c r="AE1124" s="74"/>
      <c r="AF1124" s="74"/>
      <c r="AG1124" s="74"/>
      <c r="AH1124" s="74"/>
      <c r="AI1124" s="74"/>
      <c r="AJ1124" s="74"/>
      <c r="AK1124" s="74"/>
      <c r="AL1124" s="38"/>
      <c r="AM1124" s="38"/>
      <c r="AN1124" s="75"/>
      <c r="AO1124" s="75"/>
      <c r="AP1124" s="38"/>
      <c r="AQ1124" s="38"/>
      <c r="AR1124" s="38"/>
      <c r="AS1124" s="38"/>
      <c r="AT1124" s="38"/>
      <c r="AU1124" s="38"/>
      <c r="AV1124" s="38"/>
      <c r="AW1124" s="38"/>
      <c r="AX1124" s="38"/>
      <c r="AY1124" s="38"/>
      <c r="AZ1124" s="38"/>
      <c r="BA1124" s="38"/>
      <c r="BB1124" s="38"/>
      <c r="BC1124" s="38"/>
      <c r="BD1124" s="38"/>
      <c r="BE1124" s="38"/>
      <c r="BF1124" s="38"/>
      <c r="BG1124" s="38"/>
      <c r="BH1124" s="38"/>
      <c r="BI1124" s="38"/>
      <c r="BJ1124" s="38"/>
      <c r="BK1124" s="38"/>
      <c r="BL1124" s="38"/>
      <c r="BM1124" s="38"/>
      <c r="BN1124" s="38"/>
      <c r="BO1124" s="38"/>
      <c r="BP1124" s="38"/>
      <c r="BQ1124" s="38"/>
      <c r="BR1124" s="38"/>
      <c r="BS1124" s="38"/>
      <c r="BT1124" s="38"/>
      <c r="BU1124" s="38"/>
      <c r="BV1124" s="38"/>
    </row>
    <row r="1125" ht="14.25" customHeight="1">
      <c r="A1125" s="74"/>
      <c r="B1125" s="38"/>
      <c r="C1125" s="38"/>
      <c r="D1125" s="38"/>
      <c r="E1125" s="74"/>
      <c r="F1125" s="74"/>
      <c r="G1125" s="74"/>
      <c r="H1125" s="74"/>
      <c r="I1125" s="74"/>
      <c r="J1125" s="74"/>
      <c r="K1125" s="74"/>
      <c r="L1125" s="74"/>
      <c r="M1125" s="74"/>
      <c r="N1125" s="74"/>
      <c r="O1125" s="74"/>
      <c r="P1125" s="74"/>
      <c r="Q1125" s="74"/>
      <c r="R1125" s="74"/>
      <c r="S1125" s="74"/>
      <c r="T1125" s="74"/>
      <c r="U1125" s="74"/>
      <c r="V1125" s="74"/>
      <c r="W1125" s="74"/>
      <c r="X1125" s="74"/>
      <c r="Y1125" s="74"/>
      <c r="Z1125" s="74"/>
      <c r="AA1125" s="74"/>
      <c r="AB1125" s="74"/>
      <c r="AC1125" s="74"/>
      <c r="AD1125" s="74"/>
      <c r="AE1125" s="74"/>
      <c r="AF1125" s="74"/>
      <c r="AG1125" s="74"/>
      <c r="AH1125" s="74"/>
      <c r="AI1125" s="74"/>
      <c r="AJ1125" s="74"/>
      <c r="AK1125" s="74"/>
      <c r="AL1125" s="38"/>
      <c r="AM1125" s="38"/>
      <c r="AN1125" s="75"/>
      <c r="AO1125" s="75"/>
      <c r="AP1125" s="38"/>
      <c r="AQ1125" s="38"/>
      <c r="AR1125" s="38"/>
      <c r="AS1125" s="38"/>
      <c r="AT1125" s="38"/>
      <c r="AU1125" s="38"/>
      <c r="AV1125" s="38"/>
      <c r="AW1125" s="38"/>
      <c r="AX1125" s="38"/>
      <c r="AY1125" s="38"/>
      <c r="AZ1125" s="38"/>
      <c r="BA1125" s="38"/>
      <c r="BB1125" s="38"/>
      <c r="BC1125" s="38"/>
      <c r="BD1125" s="38"/>
      <c r="BE1125" s="38"/>
      <c r="BF1125" s="38"/>
      <c r="BG1125" s="38"/>
      <c r="BH1125" s="38"/>
      <c r="BI1125" s="38"/>
      <c r="BJ1125" s="38"/>
      <c r="BK1125" s="38"/>
      <c r="BL1125" s="38"/>
      <c r="BM1125" s="38"/>
      <c r="BN1125" s="38"/>
      <c r="BO1125" s="38"/>
      <c r="BP1125" s="38"/>
      <c r="BQ1125" s="38"/>
      <c r="BR1125" s="38"/>
      <c r="BS1125" s="38"/>
      <c r="BT1125" s="38"/>
      <c r="BU1125" s="38"/>
      <c r="BV1125" s="38"/>
    </row>
    <row r="1126" ht="14.25" customHeight="1">
      <c r="A1126" s="74"/>
      <c r="B1126" s="38"/>
      <c r="C1126" s="38"/>
      <c r="D1126" s="38"/>
      <c r="E1126" s="74"/>
      <c r="F1126" s="74"/>
      <c r="G1126" s="74"/>
      <c r="H1126" s="74"/>
      <c r="I1126" s="74"/>
      <c r="J1126" s="74"/>
      <c r="K1126" s="74"/>
      <c r="L1126" s="74"/>
      <c r="M1126" s="74"/>
      <c r="N1126" s="74"/>
      <c r="O1126" s="74"/>
      <c r="P1126" s="74"/>
      <c r="Q1126" s="74"/>
      <c r="R1126" s="74"/>
      <c r="S1126" s="74"/>
      <c r="T1126" s="74"/>
      <c r="U1126" s="74"/>
      <c r="V1126" s="74"/>
      <c r="W1126" s="74"/>
      <c r="X1126" s="74"/>
      <c r="Y1126" s="74"/>
      <c r="Z1126" s="74"/>
      <c r="AA1126" s="74"/>
      <c r="AB1126" s="74"/>
      <c r="AC1126" s="74"/>
      <c r="AD1126" s="74"/>
      <c r="AE1126" s="74"/>
      <c r="AF1126" s="74"/>
      <c r="AG1126" s="74"/>
      <c r="AH1126" s="74"/>
      <c r="AI1126" s="74"/>
      <c r="AJ1126" s="74"/>
      <c r="AK1126" s="74"/>
      <c r="AL1126" s="38"/>
      <c r="AM1126" s="38"/>
      <c r="AN1126" s="75"/>
      <c r="AO1126" s="75"/>
      <c r="AP1126" s="38"/>
      <c r="AQ1126" s="38"/>
      <c r="AR1126" s="38"/>
      <c r="AS1126" s="38"/>
      <c r="AT1126" s="38"/>
      <c r="AU1126" s="38"/>
      <c r="AV1126" s="38"/>
      <c r="AW1126" s="38"/>
      <c r="AX1126" s="38"/>
      <c r="AY1126" s="38"/>
      <c r="AZ1126" s="38"/>
      <c r="BA1126" s="38"/>
      <c r="BB1126" s="38"/>
      <c r="BC1126" s="38"/>
      <c r="BD1126" s="38"/>
      <c r="BE1126" s="38"/>
      <c r="BF1126" s="38"/>
      <c r="BG1126" s="38"/>
      <c r="BH1126" s="38"/>
      <c r="BI1126" s="38"/>
      <c r="BJ1126" s="38"/>
      <c r="BK1126" s="38"/>
      <c r="BL1126" s="38"/>
      <c r="BM1126" s="38"/>
      <c r="BN1126" s="38"/>
      <c r="BO1126" s="38"/>
      <c r="BP1126" s="38"/>
      <c r="BQ1126" s="38"/>
      <c r="BR1126" s="38"/>
      <c r="BS1126" s="38"/>
      <c r="BT1126" s="38"/>
      <c r="BU1126" s="38"/>
      <c r="BV1126" s="38"/>
    </row>
    <row r="1127" ht="14.25" customHeight="1">
      <c r="A1127" s="74"/>
      <c r="B1127" s="38"/>
      <c r="C1127" s="38"/>
      <c r="D1127" s="38"/>
      <c r="E1127" s="74"/>
      <c r="F1127" s="74"/>
      <c r="G1127" s="74"/>
      <c r="H1127" s="74"/>
      <c r="I1127" s="74"/>
      <c r="J1127" s="74"/>
      <c r="K1127" s="74"/>
      <c r="L1127" s="74"/>
      <c r="M1127" s="74"/>
      <c r="N1127" s="74"/>
      <c r="O1127" s="74"/>
      <c r="P1127" s="74"/>
      <c r="Q1127" s="74"/>
      <c r="R1127" s="74"/>
      <c r="S1127" s="74"/>
      <c r="T1127" s="74"/>
      <c r="U1127" s="74"/>
      <c r="V1127" s="74"/>
      <c r="W1127" s="74"/>
      <c r="X1127" s="74"/>
      <c r="Y1127" s="74"/>
      <c r="Z1127" s="74"/>
      <c r="AA1127" s="74"/>
      <c r="AB1127" s="74"/>
      <c r="AC1127" s="74"/>
      <c r="AD1127" s="74"/>
      <c r="AE1127" s="74"/>
      <c r="AF1127" s="74"/>
      <c r="AG1127" s="74"/>
      <c r="AH1127" s="74"/>
      <c r="AI1127" s="74"/>
      <c r="AJ1127" s="74"/>
      <c r="AK1127" s="74"/>
      <c r="AL1127" s="38"/>
      <c r="AM1127" s="38"/>
      <c r="AN1127" s="75"/>
      <c r="AO1127" s="75"/>
      <c r="AP1127" s="38"/>
      <c r="AQ1127" s="38"/>
      <c r="AR1127" s="38"/>
      <c r="AS1127" s="38"/>
      <c r="AT1127" s="38"/>
      <c r="AU1127" s="38"/>
      <c r="AV1127" s="38"/>
      <c r="AW1127" s="38"/>
      <c r="AX1127" s="38"/>
      <c r="AY1127" s="38"/>
      <c r="AZ1127" s="38"/>
      <c r="BA1127" s="38"/>
      <c r="BB1127" s="38"/>
      <c r="BC1127" s="38"/>
      <c r="BD1127" s="38"/>
      <c r="BE1127" s="38"/>
      <c r="BF1127" s="38"/>
      <c r="BG1127" s="38"/>
      <c r="BH1127" s="38"/>
      <c r="BI1127" s="38"/>
      <c r="BJ1127" s="38"/>
      <c r="BK1127" s="38"/>
      <c r="BL1127" s="38"/>
      <c r="BM1127" s="38"/>
      <c r="BN1127" s="38"/>
      <c r="BO1127" s="38"/>
      <c r="BP1127" s="38"/>
      <c r="BQ1127" s="38"/>
      <c r="BR1127" s="38"/>
      <c r="BS1127" s="38"/>
      <c r="BT1127" s="38"/>
      <c r="BU1127" s="38"/>
      <c r="BV1127" s="38"/>
    </row>
    <row r="1128" ht="14.25" customHeight="1">
      <c r="A1128" s="74"/>
      <c r="B1128" s="38"/>
      <c r="C1128" s="38"/>
      <c r="D1128" s="38"/>
      <c r="E1128" s="74"/>
      <c r="F1128" s="74"/>
      <c r="G1128" s="74"/>
      <c r="H1128" s="74"/>
      <c r="I1128" s="74"/>
      <c r="J1128" s="74"/>
      <c r="K1128" s="74"/>
      <c r="L1128" s="74"/>
      <c r="M1128" s="74"/>
      <c r="N1128" s="74"/>
      <c r="O1128" s="74"/>
      <c r="P1128" s="74"/>
      <c r="Q1128" s="74"/>
      <c r="R1128" s="74"/>
      <c r="S1128" s="74"/>
      <c r="T1128" s="74"/>
      <c r="U1128" s="74"/>
      <c r="V1128" s="74"/>
      <c r="W1128" s="74"/>
      <c r="X1128" s="74"/>
      <c r="Y1128" s="74"/>
      <c r="Z1128" s="74"/>
      <c r="AA1128" s="74"/>
      <c r="AB1128" s="74"/>
      <c r="AC1128" s="74"/>
      <c r="AD1128" s="74"/>
      <c r="AE1128" s="74"/>
      <c r="AF1128" s="74"/>
      <c r="AG1128" s="74"/>
      <c r="AH1128" s="74"/>
      <c r="AI1128" s="74"/>
      <c r="AJ1128" s="74"/>
      <c r="AK1128" s="74"/>
      <c r="AL1128" s="38"/>
      <c r="AM1128" s="38"/>
      <c r="AN1128" s="75"/>
      <c r="AO1128" s="75"/>
      <c r="AP1128" s="38"/>
      <c r="AQ1128" s="38"/>
      <c r="AR1128" s="38"/>
      <c r="AS1128" s="38"/>
      <c r="AT1128" s="38"/>
      <c r="AU1128" s="38"/>
      <c r="AV1128" s="38"/>
      <c r="AW1128" s="38"/>
      <c r="AX1128" s="38"/>
      <c r="AY1128" s="38"/>
      <c r="AZ1128" s="38"/>
      <c r="BA1128" s="38"/>
      <c r="BB1128" s="38"/>
      <c r="BC1128" s="38"/>
      <c r="BD1128" s="38"/>
      <c r="BE1128" s="38"/>
      <c r="BF1128" s="38"/>
      <c r="BG1128" s="38"/>
      <c r="BH1128" s="38"/>
      <c r="BI1128" s="38"/>
      <c r="BJ1128" s="38"/>
      <c r="BK1128" s="38"/>
      <c r="BL1128" s="38"/>
      <c r="BM1128" s="38"/>
      <c r="BN1128" s="38"/>
      <c r="BO1128" s="38"/>
      <c r="BP1128" s="38"/>
      <c r="BQ1128" s="38"/>
      <c r="BR1128" s="38"/>
      <c r="BS1128" s="38"/>
      <c r="BT1128" s="38"/>
      <c r="BU1128" s="38"/>
      <c r="BV1128" s="38"/>
    </row>
    <row r="1129" ht="14.25" customHeight="1">
      <c r="A1129" s="74"/>
      <c r="B1129" s="38"/>
      <c r="C1129" s="38"/>
      <c r="D1129" s="38"/>
      <c r="E1129" s="74"/>
      <c r="F1129" s="74"/>
      <c r="G1129" s="74"/>
      <c r="H1129" s="74"/>
      <c r="I1129" s="74"/>
      <c r="J1129" s="74"/>
      <c r="K1129" s="74"/>
      <c r="L1129" s="74"/>
      <c r="M1129" s="74"/>
      <c r="N1129" s="74"/>
      <c r="O1129" s="74"/>
      <c r="P1129" s="74"/>
      <c r="Q1129" s="74"/>
      <c r="R1129" s="74"/>
      <c r="S1129" s="74"/>
      <c r="T1129" s="74"/>
      <c r="U1129" s="74"/>
      <c r="V1129" s="74"/>
      <c r="W1129" s="74"/>
      <c r="X1129" s="74"/>
      <c r="Y1129" s="74"/>
      <c r="Z1129" s="74"/>
      <c r="AA1129" s="74"/>
      <c r="AB1129" s="74"/>
      <c r="AC1129" s="74"/>
      <c r="AD1129" s="74"/>
      <c r="AE1129" s="74"/>
      <c r="AF1129" s="74"/>
      <c r="AG1129" s="74"/>
      <c r="AH1129" s="74"/>
      <c r="AI1129" s="74"/>
      <c r="AJ1129" s="74"/>
      <c r="AK1129" s="74"/>
      <c r="AL1129" s="38"/>
      <c r="AM1129" s="38"/>
      <c r="AN1129" s="75"/>
      <c r="AO1129" s="75"/>
      <c r="AP1129" s="38"/>
      <c r="AQ1129" s="38"/>
      <c r="AR1129" s="38"/>
      <c r="AS1129" s="38"/>
      <c r="AT1129" s="38"/>
      <c r="AU1129" s="38"/>
      <c r="AV1129" s="38"/>
      <c r="AW1129" s="38"/>
      <c r="AX1129" s="38"/>
      <c r="AY1129" s="38"/>
      <c r="AZ1129" s="38"/>
      <c r="BA1129" s="38"/>
      <c r="BB1129" s="38"/>
      <c r="BC1129" s="38"/>
      <c r="BD1129" s="38"/>
      <c r="BE1129" s="38"/>
      <c r="BF1129" s="38"/>
      <c r="BG1129" s="38"/>
      <c r="BH1129" s="38"/>
      <c r="BI1129" s="38"/>
      <c r="BJ1129" s="38"/>
      <c r="BK1129" s="38"/>
      <c r="BL1129" s="38"/>
      <c r="BM1129" s="38"/>
      <c r="BN1129" s="38"/>
      <c r="BO1129" s="38"/>
      <c r="BP1129" s="38"/>
      <c r="BQ1129" s="38"/>
      <c r="BR1129" s="38"/>
      <c r="BS1129" s="38"/>
      <c r="BT1129" s="38"/>
      <c r="BU1129" s="38"/>
      <c r="BV1129" s="38"/>
    </row>
    <row r="1130" ht="14.25" customHeight="1">
      <c r="A1130" s="74"/>
      <c r="B1130" s="38"/>
      <c r="C1130" s="38"/>
      <c r="D1130" s="38"/>
      <c r="E1130" s="74"/>
      <c r="F1130" s="74"/>
      <c r="G1130" s="74"/>
      <c r="H1130" s="74"/>
      <c r="I1130" s="74"/>
      <c r="J1130" s="74"/>
      <c r="K1130" s="74"/>
      <c r="L1130" s="74"/>
      <c r="M1130" s="74"/>
      <c r="N1130" s="74"/>
      <c r="O1130" s="74"/>
      <c r="P1130" s="74"/>
      <c r="Q1130" s="74"/>
      <c r="R1130" s="74"/>
      <c r="S1130" s="74"/>
      <c r="T1130" s="74"/>
      <c r="U1130" s="74"/>
      <c r="V1130" s="74"/>
      <c r="W1130" s="74"/>
      <c r="X1130" s="74"/>
      <c r="Y1130" s="74"/>
      <c r="Z1130" s="74"/>
      <c r="AA1130" s="74"/>
      <c r="AB1130" s="74"/>
      <c r="AC1130" s="74"/>
      <c r="AD1130" s="74"/>
      <c r="AE1130" s="74"/>
      <c r="AF1130" s="74"/>
      <c r="AG1130" s="74"/>
      <c r="AH1130" s="74"/>
      <c r="AI1130" s="74"/>
      <c r="AJ1130" s="74"/>
      <c r="AK1130" s="74"/>
      <c r="AL1130" s="38"/>
      <c r="AM1130" s="38"/>
      <c r="AN1130" s="75"/>
      <c r="AO1130" s="75"/>
      <c r="AP1130" s="38"/>
      <c r="AQ1130" s="38"/>
      <c r="AR1130" s="38"/>
      <c r="AS1130" s="38"/>
      <c r="AT1130" s="38"/>
      <c r="AU1130" s="38"/>
      <c r="AV1130" s="38"/>
      <c r="AW1130" s="38"/>
      <c r="AX1130" s="38"/>
      <c r="AY1130" s="38"/>
      <c r="AZ1130" s="38"/>
      <c r="BA1130" s="38"/>
      <c r="BB1130" s="38"/>
      <c r="BC1130" s="38"/>
      <c r="BD1130" s="38"/>
      <c r="BE1130" s="38"/>
      <c r="BF1130" s="38"/>
      <c r="BG1130" s="38"/>
      <c r="BH1130" s="38"/>
      <c r="BI1130" s="38"/>
      <c r="BJ1130" s="38"/>
      <c r="BK1130" s="38"/>
      <c r="BL1130" s="38"/>
      <c r="BM1130" s="38"/>
      <c r="BN1130" s="38"/>
      <c r="BO1130" s="38"/>
      <c r="BP1130" s="38"/>
      <c r="BQ1130" s="38"/>
      <c r="BR1130" s="38"/>
      <c r="BS1130" s="38"/>
      <c r="BT1130" s="38"/>
      <c r="BU1130" s="38"/>
      <c r="BV1130" s="38"/>
    </row>
    <row r="1131" ht="14.25" customHeight="1">
      <c r="A1131" s="74"/>
      <c r="B1131" s="38"/>
      <c r="C1131" s="38"/>
      <c r="D1131" s="38"/>
      <c r="E1131" s="74"/>
      <c r="F1131" s="74"/>
      <c r="G1131" s="74"/>
      <c r="H1131" s="74"/>
      <c r="I1131" s="74"/>
      <c r="J1131" s="74"/>
      <c r="K1131" s="74"/>
      <c r="L1131" s="74"/>
      <c r="M1131" s="74"/>
      <c r="N1131" s="74"/>
      <c r="O1131" s="74"/>
      <c r="P1131" s="74"/>
      <c r="Q1131" s="74"/>
      <c r="R1131" s="74"/>
      <c r="S1131" s="74"/>
      <c r="T1131" s="74"/>
      <c r="U1131" s="74"/>
      <c r="V1131" s="74"/>
      <c r="W1131" s="74"/>
      <c r="X1131" s="74"/>
      <c r="Y1131" s="74"/>
      <c r="Z1131" s="74"/>
      <c r="AA1131" s="74"/>
      <c r="AB1131" s="74"/>
      <c r="AC1131" s="74"/>
      <c r="AD1131" s="74"/>
      <c r="AE1131" s="74"/>
      <c r="AF1131" s="74"/>
      <c r="AG1131" s="74"/>
      <c r="AH1131" s="74"/>
      <c r="AI1131" s="74"/>
      <c r="AJ1131" s="74"/>
      <c r="AK1131" s="74"/>
      <c r="AL1131" s="38"/>
      <c r="AM1131" s="38"/>
      <c r="AN1131" s="75"/>
      <c r="AO1131" s="75"/>
      <c r="AP1131" s="38"/>
      <c r="AQ1131" s="38"/>
      <c r="AR1131" s="38"/>
      <c r="AS1131" s="38"/>
      <c r="AT1131" s="38"/>
      <c r="AU1131" s="38"/>
      <c r="AV1131" s="38"/>
      <c r="AW1131" s="38"/>
      <c r="AX1131" s="38"/>
      <c r="AY1131" s="38"/>
      <c r="AZ1131" s="38"/>
      <c r="BA1131" s="38"/>
      <c r="BB1131" s="38"/>
      <c r="BC1131" s="38"/>
      <c r="BD1131" s="38"/>
      <c r="BE1131" s="38"/>
      <c r="BF1131" s="38"/>
      <c r="BG1131" s="38"/>
      <c r="BH1131" s="38"/>
      <c r="BI1131" s="38"/>
      <c r="BJ1131" s="38"/>
      <c r="BK1131" s="38"/>
      <c r="BL1131" s="38"/>
      <c r="BM1131" s="38"/>
      <c r="BN1131" s="38"/>
      <c r="BO1131" s="38"/>
      <c r="BP1131" s="38"/>
      <c r="BQ1131" s="38"/>
      <c r="BR1131" s="38"/>
      <c r="BS1131" s="38"/>
      <c r="BT1131" s="38"/>
      <c r="BU1131" s="38"/>
      <c r="BV1131" s="38"/>
    </row>
    <row r="1132" ht="14.25" customHeight="1">
      <c r="A1132" s="74"/>
      <c r="B1132" s="38"/>
      <c r="C1132" s="38"/>
      <c r="D1132" s="38"/>
      <c r="E1132" s="74"/>
      <c r="F1132" s="74"/>
      <c r="G1132" s="74"/>
      <c r="H1132" s="74"/>
      <c r="I1132" s="74"/>
      <c r="J1132" s="74"/>
      <c r="K1132" s="74"/>
      <c r="L1132" s="74"/>
      <c r="M1132" s="74"/>
      <c r="N1132" s="74"/>
      <c r="O1132" s="74"/>
      <c r="P1132" s="74"/>
      <c r="Q1132" s="74"/>
      <c r="R1132" s="74"/>
      <c r="S1132" s="74"/>
      <c r="T1132" s="74"/>
      <c r="U1132" s="74"/>
      <c r="V1132" s="74"/>
      <c r="W1132" s="74"/>
      <c r="X1132" s="74"/>
      <c r="Y1132" s="74"/>
      <c r="Z1132" s="74"/>
      <c r="AA1132" s="74"/>
      <c r="AB1132" s="74"/>
      <c r="AC1132" s="74"/>
      <c r="AD1132" s="74"/>
      <c r="AE1132" s="74"/>
      <c r="AF1132" s="74"/>
      <c r="AG1132" s="74"/>
      <c r="AH1132" s="74"/>
      <c r="AI1132" s="74"/>
      <c r="AJ1132" s="74"/>
      <c r="AK1132" s="74"/>
      <c r="AL1132" s="38"/>
      <c r="AM1132" s="38"/>
      <c r="AN1132" s="75"/>
      <c r="AO1132" s="75"/>
      <c r="AP1132" s="38"/>
      <c r="AQ1132" s="38"/>
      <c r="AR1132" s="38"/>
      <c r="AS1132" s="38"/>
      <c r="AT1132" s="38"/>
      <c r="AU1132" s="38"/>
      <c r="AV1132" s="38"/>
      <c r="AW1132" s="38"/>
      <c r="AX1132" s="38"/>
      <c r="AY1132" s="38"/>
      <c r="AZ1132" s="38"/>
      <c r="BA1132" s="38"/>
      <c r="BB1132" s="38"/>
      <c r="BC1132" s="38"/>
      <c r="BD1132" s="38"/>
      <c r="BE1132" s="38"/>
      <c r="BF1132" s="38"/>
      <c r="BG1132" s="38"/>
      <c r="BH1132" s="38"/>
      <c r="BI1132" s="38"/>
      <c r="BJ1132" s="38"/>
      <c r="BK1132" s="38"/>
      <c r="BL1132" s="38"/>
      <c r="BM1132" s="38"/>
      <c r="BN1132" s="38"/>
      <c r="BO1132" s="38"/>
      <c r="BP1132" s="38"/>
      <c r="BQ1132" s="38"/>
      <c r="BR1132" s="38"/>
      <c r="BS1132" s="38"/>
      <c r="BT1132" s="38"/>
      <c r="BU1132" s="38"/>
      <c r="BV1132" s="38"/>
    </row>
    <row r="1133" ht="14.25" customHeight="1">
      <c r="A1133" s="74"/>
      <c r="B1133" s="38"/>
      <c r="C1133" s="38"/>
      <c r="D1133" s="38"/>
      <c r="E1133" s="74"/>
      <c r="F1133" s="74"/>
      <c r="G1133" s="74"/>
      <c r="H1133" s="74"/>
      <c r="I1133" s="74"/>
      <c r="J1133" s="74"/>
      <c r="K1133" s="74"/>
      <c r="L1133" s="74"/>
      <c r="M1133" s="74"/>
      <c r="N1133" s="74"/>
      <c r="O1133" s="74"/>
      <c r="P1133" s="74"/>
      <c r="Q1133" s="74"/>
      <c r="R1133" s="74"/>
      <c r="S1133" s="74"/>
      <c r="T1133" s="74"/>
      <c r="U1133" s="74"/>
      <c r="V1133" s="74"/>
      <c r="W1133" s="74"/>
      <c r="X1133" s="74"/>
      <c r="Y1133" s="74"/>
      <c r="Z1133" s="74"/>
      <c r="AA1133" s="74"/>
      <c r="AB1133" s="74"/>
      <c r="AC1133" s="74"/>
      <c r="AD1133" s="74"/>
      <c r="AE1133" s="74"/>
      <c r="AF1133" s="74"/>
      <c r="AG1133" s="74"/>
      <c r="AH1133" s="74"/>
      <c r="AI1133" s="74"/>
      <c r="AJ1133" s="74"/>
      <c r="AK1133" s="74"/>
      <c r="AL1133" s="38"/>
      <c r="AM1133" s="38"/>
      <c r="AN1133" s="75"/>
      <c r="AO1133" s="75"/>
      <c r="AP1133" s="38"/>
      <c r="AQ1133" s="38"/>
      <c r="AR1133" s="38"/>
      <c r="AS1133" s="38"/>
      <c r="AT1133" s="38"/>
      <c r="AU1133" s="38"/>
      <c r="AV1133" s="38"/>
      <c r="AW1133" s="38"/>
      <c r="AX1133" s="38"/>
      <c r="AY1133" s="38"/>
      <c r="AZ1133" s="38"/>
      <c r="BA1133" s="38"/>
      <c r="BB1133" s="38"/>
      <c r="BC1133" s="38"/>
      <c r="BD1133" s="38"/>
      <c r="BE1133" s="38"/>
      <c r="BF1133" s="38"/>
      <c r="BG1133" s="38"/>
      <c r="BH1133" s="38"/>
      <c r="BI1133" s="38"/>
      <c r="BJ1133" s="38"/>
      <c r="BK1133" s="38"/>
      <c r="BL1133" s="38"/>
      <c r="BM1133" s="38"/>
      <c r="BN1133" s="38"/>
      <c r="BO1133" s="38"/>
      <c r="BP1133" s="38"/>
      <c r="BQ1133" s="38"/>
      <c r="BR1133" s="38"/>
      <c r="BS1133" s="38"/>
      <c r="BT1133" s="38"/>
      <c r="BU1133" s="38"/>
      <c r="BV1133" s="38"/>
    </row>
    <row r="1134" ht="14.25" customHeight="1">
      <c r="A1134" s="74"/>
      <c r="B1134" s="38"/>
      <c r="C1134" s="38"/>
      <c r="D1134" s="38"/>
      <c r="E1134" s="74"/>
      <c r="F1134" s="74"/>
      <c r="G1134" s="74"/>
      <c r="H1134" s="74"/>
      <c r="I1134" s="74"/>
      <c r="J1134" s="74"/>
      <c r="K1134" s="74"/>
      <c r="L1134" s="74"/>
      <c r="M1134" s="74"/>
      <c r="N1134" s="74"/>
      <c r="O1134" s="74"/>
      <c r="P1134" s="74"/>
      <c r="Q1134" s="74"/>
      <c r="R1134" s="74"/>
      <c r="S1134" s="74"/>
      <c r="T1134" s="74"/>
      <c r="U1134" s="74"/>
      <c r="V1134" s="74"/>
      <c r="W1134" s="74"/>
      <c r="X1134" s="74"/>
      <c r="Y1134" s="74"/>
      <c r="Z1134" s="74"/>
      <c r="AA1134" s="74"/>
      <c r="AB1134" s="74"/>
      <c r="AC1134" s="74"/>
      <c r="AD1134" s="74"/>
      <c r="AE1134" s="74"/>
      <c r="AF1134" s="74"/>
      <c r="AG1134" s="74"/>
      <c r="AH1134" s="74"/>
      <c r="AI1134" s="74"/>
      <c r="AJ1134" s="74"/>
      <c r="AK1134" s="74"/>
      <c r="AL1134" s="38"/>
      <c r="AM1134" s="38"/>
      <c r="AN1134" s="75"/>
      <c r="AO1134" s="75"/>
      <c r="AP1134" s="38"/>
      <c r="AQ1134" s="38"/>
      <c r="AR1134" s="38"/>
      <c r="AS1134" s="38"/>
      <c r="AT1134" s="38"/>
      <c r="AU1134" s="38"/>
      <c r="AV1134" s="38"/>
      <c r="AW1134" s="38"/>
      <c r="AX1134" s="38"/>
      <c r="AY1134" s="38"/>
      <c r="AZ1134" s="38"/>
      <c r="BA1134" s="38"/>
      <c r="BB1134" s="38"/>
      <c r="BC1134" s="38"/>
      <c r="BD1134" s="38"/>
      <c r="BE1134" s="38"/>
      <c r="BF1134" s="38"/>
      <c r="BG1134" s="38"/>
      <c r="BH1134" s="38"/>
      <c r="BI1134" s="38"/>
      <c r="BJ1134" s="38"/>
      <c r="BK1134" s="38"/>
      <c r="BL1134" s="38"/>
      <c r="BM1134" s="38"/>
      <c r="BN1134" s="38"/>
      <c r="BO1134" s="38"/>
      <c r="BP1134" s="38"/>
      <c r="BQ1134" s="38"/>
      <c r="BR1134" s="38"/>
      <c r="BS1134" s="38"/>
      <c r="BT1134" s="38"/>
      <c r="BU1134" s="38"/>
      <c r="BV1134" s="38"/>
    </row>
    <row r="1135" ht="14.25" customHeight="1">
      <c r="A1135" s="74"/>
      <c r="B1135" s="38"/>
      <c r="C1135" s="38"/>
      <c r="D1135" s="38"/>
      <c r="E1135" s="74"/>
      <c r="F1135" s="74"/>
      <c r="G1135" s="74"/>
      <c r="H1135" s="74"/>
      <c r="I1135" s="74"/>
      <c r="J1135" s="74"/>
      <c r="K1135" s="74"/>
      <c r="L1135" s="74"/>
      <c r="M1135" s="74"/>
      <c r="N1135" s="74"/>
      <c r="O1135" s="74"/>
      <c r="P1135" s="74"/>
      <c r="Q1135" s="74"/>
      <c r="R1135" s="74"/>
      <c r="S1135" s="74"/>
      <c r="T1135" s="74"/>
      <c r="U1135" s="74"/>
      <c r="V1135" s="74"/>
      <c r="W1135" s="74"/>
      <c r="X1135" s="74"/>
      <c r="Y1135" s="74"/>
      <c r="Z1135" s="74"/>
      <c r="AA1135" s="74"/>
      <c r="AB1135" s="74"/>
      <c r="AC1135" s="74"/>
      <c r="AD1135" s="74"/>
      <c r="AE1135" s="74"/>
      <c r="AF1135" s="74"/>
      <c r="AG1135" s="74"/>
      <c r="AH1135" s="74"/>
      <c r="AI1135" s="74"/>
      <c r="AJ1135" s="74"/>
      <c r="AK1135" s="74"/>
      <c r="AL1135" s="38"/>
      <c r="AM1135" s="38"/>
      <c r="AN1135" s="75"/>
      <c r="AO1135" s="75"/>
      <c r="AP1135" s="38"/>
      <c r="AQ1135" s="38"/>
      <c r="AR1135" s="38"/>
      <c r="AS1135" s="38"/>
      <c r="AT1135" s="38"/>
      <c r="AU1135" s="38"/>
      <c r="AV1135" s="38"/>
      <c r="AW1135" s="38"/>
      <c r="AX1135" s="38"/>
      <c r="AY1135" s="38"/>
      <c r="AZ1135" s="38"/>
      <c r="BA1135" s="38"/>
      <c r="BB1135" s="38"/>
      <c r="BC1135" s="38"/>
      <c r="BD1135" s="38"/>
      <c r="BE1135" s="38"/>
      <c r="BF1135" s="38"/>
      <c r="BG1135" s="38"/>
      <c r="BH1135" s="38"/>
      <c r="BI1135" s="38"/>
      <c r="BJ1135" s="38"/>
      <c r="BK1135" s="38"/>
      <c r="BL1135" s="38"/>
      <c r="BM1135" s="38"/>
      <c r="BN1135" s="38"/>
      <c r="BO1135" s="38"/>
      <c r="BP1135" s="38"/>
      <c r="BQ1135" s="38"/>
      <c r="BR1135" s="38"/>
      <c r="BS1135" s="38"/>
      <c r="BT1135" s="38"/>
      <c r="BU1135" s="38"/>
      <c r="BV1135" s="38"/>
    </row>
    <row r="1136" ht="14.25" customHeight="1">
      <c r="A1136" s="74"/>
      <c r="B1136" s="38"/>
      <c r="C1136" s="38"/>
      <c r="D1136" s="38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4"/>
      <c r="P1136" s="74"/>
      <c r="Q1136" s="74"/>
      <c r="R1136" s="74"/>
      <c r="S1136" s="74"/>
      <c r="T1136" s="74"/>
      <c r="U1136" s="74"/>
      <c r="V1136" s="74"/>
      <c r="W1136" s="74"/>
      <c r="X1136" s="74"/>
      <c r="Y1136" s="74"/>
      <c r="Z1136" s="74"/>
      <c r="AA1136" s="74"/>
      <c r="AB1136" s="74"/>
      <c r="AC1136" s="74"/>
      <c r="AD1136" s="74"/>
      <c r="AE1136" s="74"/>
      <c r="AF1136" s="74"/>
      <c r="AG1136" s="74"/>
      <c r="AH1136" s="74"/>
      <c r="AI1136" s="74"/>
      <c r="AJ1136" s="74"/>
      <c r="AK1136" s="74"/>
      <c r="AL1136" s="38"/>
      <c r="AM1136" s="38"/>
      <c r="AN1136" s="75"/>
      <c r="AO1136" s="75"/>
      <c r="AP1136" s="38"/>
      <c r="AQ1136" s="38"/>
      <c r="AR1136" s="38"/>
      <c r="AS1136" s="38"/>
      <c r="AT1136" s="38"/>
      <c r="AU1136" s="38"/>
      <c r="AV1136" s="38"/>
      <c r="AW1136" s="38"/>
      <c r="AX1136" s="38"/>
      <c r="AY1136" s="38"/>
      <c r="AZ1136" s="38"/>
      <c r="BA1136" s="38"/>
      <c r="BB1136" s="38"/>
      <c r="BC1136" s="38"/>
      <c r="BD1136" s="38"/>
      <c r="BE1136" s="38"/>
      <c r="BF1136" s="38"/>
      <c r="BG1136" s="38"/>
      <c r="BH1136" s="38"/>
      <c r="BI1136" s="38"/>
      <c r="BJ1136" s="38"/>
      <c r="BK1136" s="38"/>
      <c r="BL1136" s="38"/>
      <c r="BM1136" s="38"/>
      <c r="BN1136" s="38"/>
      <c r="BO1136" s="38"/>
      <c r="BP1136" s="38"/>
      <c r="BQ1136" s="38"/>
      <c r="BR1136" s="38"/>
      <c r="BS1136" s="38"/>
      <c r="BT1136" s="38"/>
      <c r="BU1136" s="38"/>
      <c r="BV1136" s="38"/>
    </row>
    <row r="1137" ht="14.25" customHeight="1">
      <c r="A1137" s="74"/>
      <c r="B1137" s="38"/>
      <c r="C1137" s="38"/>
      <c r="D1137" s="38"/>
      <c r="E1137" s="74"/>
      <c r="F1137" s="74"/>
      <c r="G1137" s="74"/>
      <c r="H1137" s="74"/>
      <c r="I1137" s="74"/>
      <c r="J1137" s="74"/>
      <c r="K1137" s="74"/>
      <c r="L1137" s="74"/>
      <c r="M1137" s="74"/>
      <c r="N1137" s="74"/>
      <c r="O1137" s="74"/>
      <c r="P1137" s="74"/>
      <c r="Q1137" s="74"/>
      <c r="R1137" s="74"/>
      <c r="S1137" s="74"/>
      <c r="T1137" s="74"/>
      <c r="U1137" s="74"/>
      <c r="V1137" s="74"/>
      <c r="W1137" s="74"/>
      <c r="X1137" s="74"/>
      <c r="Y1137" s="74"/>
      <c r="Z1137" s="74"/>
      <c r="AA1137" s="74"/>
      <c r="AB1137" s="74"/>
      <c r="AC1137" s="74"/>
      <c r="AD1137" s="74"/>
      <c r="AE1137" s="74"/>
      <c r="AF1137" s="74"/>
      <c r="AG1137" s="74"/>
      <c r="AH1137" s="74"/>
      <c r="AI1137" s="74"/>
      <c r="AJ1137" s="74"/>
      <c r="AK1137" s="74"/>
      <c r="AL1137" s="38"/>
      <c r="AM1137" s="38"/>
      <c r="AN1137" s="75"/>
      <c r="AO1137" s="75"/>
      <c r="AP1137" s="38"/>
      <c r="AQ1137" s="38"/>
      <c r="AR1137" s="38"/>
      <c r="AS1137" s="38"/>
      <c r="AT1137" s="38"/>
      <c r="AU1137" s="38"/>
      <c r="AV1137" s="38"/>
      <c r="AW1137" s="38"/>
      <c r="AX1137" s="38"/>
      <c r="AY1137" s="38"/>
      <c r="AZ1137" s="38"/>
      <c r="BA1137" s="38"/>
      <c r="BB1137" s="38"/>
      <c r="BC1137" s="38"/>
      <c r="BD1137" s="38"/>
      <c r="BE1137" s="38"/>
      <c r="BF1137" s="38"/>
      <c r="BG1137" s="38"/>
      <c r="BH1137" s="38"/>
      <c r="BI1137" s="38"/>
      <c r="BJ1137" s="38"/>
      <c r="BK1137" s="38"/>
      <c r="BL1137" s="38"/>
      <c r="BM1137" s="38"/>
      <c r="BN1137" s="38"/>
      <c r="BO1137" s="38"/>
      <c r="BP1137" s="38"/>
      <c r="BQ1137" s="38"/>
      <c r="BR1137" s="38"/>
      <c r="BS1137" s="38"/>
      <c r="BT1137" s="38"/>
      <c r="BU1137" s="38"/>
      <c r="BV1137" s="38"/>
    </row>
    <row r="1138" ht="14.25" customHeight="1">
      <c r="A1138" s="74"/>
      <c r="B1138" s="38"/>
      <c r="C1138" s="38"/>
      <c r="D1138" s="38"/>
      <c r="E1138" s="74"/>
      <c r="F1138" s="74"/>
      <c r="G1138" s="74"/>
      <c r="H1138" s="74"/>
      <c r="I1138" s="74"/>
      <c r="J1138" s="74"/>
      <c r="K1138" s="74"/>
      <c r="L1138" s="74"/>
      <c r="M1138" s="74"/>
      <c r="N1138" s="74"/>
      <c r="O1138" s="74"/>
      <c r="P1138" s="74"/>
      <c r="Q1138" s="74"/>
      <c r="R1138" s="74"/>
      <c r="S1138" s="74"/>
      <c r="T1138" s="74"/>
      <c r="U1138" s="74"/>
      <c r="V1138" s="74"/>
      <c r="W1138" s="74"/>
      <c r="X1138" s="74"/>
      <c r="Y1138" s="74"/>
      <c r="Z1138" s="74"/>
      <c r="AA1138" s="74"/>
      <c r="AB1138" s="74"/>
      <c r="AC1138" s="74"/>
      <c r="AD1138" s="74"/>
      <c r="AE1138" s="74"/>
      <c r="AF1138" s="74"/>
      <c r="AG1138" s="74"/>
      <c r="AH1138" s="74"/>
      <c r="AI1138" s="74"/>
      <c r="AJ1138" s="74"/>
      <c r="AK1138" s="74"/>
      <c r="AL1138" s="38"/>
      <c r="AM1138" s="38"/>
      <c r="AN1138" s="75"/>
      <c r="AO1138" s="75"/>
      <c r="AP1138" s="38"/>
      <c r="AQ1138" s="38"/>
      <c r="AR1138" s="38"/>
      <c r="AS1138" s="38"/>
      <c r="AT1138" s="38"/>
      <c r="AU1138" s="38"/>
      <c r="AV1138" s="38"/>
      <c r="AW1138" s="38"/>
      <c r="AX1138" s="38"/>
      <c r="AY1138" s="38"/>
      <c r="AZ1138" s="38"/>
      <c r="BA1138" s="38"/>
      <c r="BB1138" s="38"/>
      <c r="BC1138" s="38"/>
      <c r="BD1138" s="38"/>
      <c r="BE1138" s="38"/>
      <c r="BF1138" s="38"/>
      <c r="BG1138" s="38"/>
      <c r="BH1138" s="38"/>
      <c r="BI1138" s="38"/>
      <c r="BJ1138" s="38"/>
      <c r="BK1138" s="38"/>
      <c r="BL1138" s="38"/>
      <c r="BM1138" s="38"/>
      <c r="BN1138" s="38"/>
      <c r="BO1138" s="38"/>
      <c r="BP1138" s="38"/>
      <c r="BQ1138" s="38"/>
      <c r="BR1138" s="38"/>
      <c r="BS1138" s="38"/>
      <c r="BT1138" s="38"/>
      <c r="BU1138" s="38"/>
      <c r="BV1138" s="38"/>
    </row>
    <row r="1139" ht="14.25" customHeight="1">
      <c r="A1139" s="74"/>
      <c r="B1139" s="38"/>
      <c r="C1139" s="38"/>
      <c r="D1139" s="38"/>
      <c r="E1139" s="74"/>
      <c r="F1139" s="74"/>
      <c r="G1139" s="74"/>
      <c r="H1139" s="74"/>
      <c r="I1139" s="74"/>
      <c r="J1139" s="74"/>
      <c r="K1139" s="74"/>
      <c r="L1139" s="74"/>
      <c r="M1139" s="74"/>
      <c r="N1139" s="74"/>
      <c r="O1139" s="74"/>
      <c r="P1139" s="74"/>
      <c r="Q1139" s="74"/>
      <c r="R1139" s="74"/>
      <c r="S1139" s="74"/>
      <c r="T1139" s="74"/>
      <c r="U1139" s="74"/>
      <c r="V1139" s="74"/>
      <c r="W1139" s="74"/>
      <c r="X1139" s="74"/>
      <c r="Y1139" s="74"/>
      <c r="Z1139" s="74"/>
      <c r="AA1139" s="74"/>
      <c r="AB1139" s="74"/>
      <c r="AC1139" s="74"/>
      <c r="AD1139" s="74"/>
      <c r="AE1139" s="74"/>
      <c r="AF1139" s="74"/>
      <c r="AG1139" s="74"/>
      <c r="AH1139" s="74"/>
      <c r="AI1139" s="74"/>
      <c r="AJ1139" s="74"/>
      <c r="AK1139" s="74"/>
      <c r="AL1139" s="38"/>
      <c r="AM1139" s="38"/>
      <c r="AN1139" s="75"/>
      <c r="AO1139" s="75"/>
      <c r="AP1139" s="38"/>
      <c r="AQ1139" s="38"/>
      <c r="AR1139" s="38"/>
      <c r="AS1139" s="38"/>
      <c r="AT1139" s="38"/>
      <c r="AU1139" s="38"/>
      <c r="AV1139" s="38"/>
      <c r="AW1139" s="38"/>
      <c r="AX1139" s="38"/>
      <c r="AY1139" s="38"/>
      <c r="AZ1139" s="38"/>
      <c r="BA1139" s="38"/>
      <c r="BB1139" s="38"/>
      <c r="BC1139" s="38"/>
      <c r="BD1139" s="38"/>
      <c r="BE1139" s="38"/>
      <c r="BF1139" s="38"/>
      <c r="BG1139" s="38"/>
      <c r="BH1139" s="38"/>
      <c r="BI1139" s="38"/>
      <c r="BJ1139" s="38"/>
      <c r="BK1139" s="38"/>
      <c r="BL1139" s="38"/>
      <c r="BM1139" s="38"/>
      <c r="BN1139" s="38"/>
      <c r="BO1139" s="38"/>
      <c r="BP1139" s="38"/>
      <c r="BQ1139" s="38"/>
      <c r="BR1139" s="38"/>
      <c r="BS1139" s="38"/>
      <c r="BT1139" s="38"/>
      <c r="BU1139" s="38"/>
      <c r="BV1139" s="38"/>
    </row>
    <row r="1140" ht="14.25" customHeight="1">
      <c r="A1140" s="74"/>
      <c r="B1140" s="38"/>
      <c r="C1140" s="38"/>
      <c r="D1140" s="38"/>
      <c r="E1140" s="74"/>
      <c r="F1140" s="74"/>
      <c r="G1140" s="74"/>
      <c r="H1140" s="74"/>
      <c r="I1140" s="74"/>
      <c r="J1140" s="74"/>
      <c r="K1140" s="74"/>
      <c r="L1140" s="74"/>
      <c r="M1140" s="74"/>
      <c r="N1140" s="74"/>
      <c r="O1140" s="74"/>
      <c r="P1140" s="74"/>
      <c r="Q1140" s="74"/>
      <c r="R1140" s="74"/>
      <c r="S1140" s="74"/>
      <c r="T1140" s="74"/>
      <c r="U1140" s="74"/>
      <c r="V1140" s="74"/>
      <c r="W1140" s="74"/>
      <c r="X1140" s="74"/>
      <c r="Y1140" s="74"/>
      <c r="Z1140" s="74"/>
      <c r="AA1140" s="74"/>
      <c r="AB1140" s="74"/>
      <c r="AC1140" s="74"/>
      <c r="AD1140" s="74"/>
      <c r="AE1140" s="74"/>
      <c r="AF1140" s="74"/>
      <c r="AG1140" s="74"/>
      <c r="AH1140" s="74"/>
      <c r="AI1140" s="74"/>
      <c r="AJ1140" s="74"/>
      <c r="AK1140" s="74"/>
      <c r="AL1140" s="38"/>
      <c r="AM1140" s="38"/>
      <c r="AN1140" s="75"/>
      <c r="AO1140" s="75"/>
      <c r="AP1140" s="38"/>
      <c r="AQ1140" s="38"/>
      <c r="AR1140" s="38"/>
      <c r="AS1140" s="38"/>
      <c r="AT1140" s="38"/>
      <c r="AU1140" s="38"/>
      <c r="AV1140" s="38"/>
      <c r="AW1140" s="38"/>
      <c r="AX1140" s="38"/>
      <c r="AY1140" s="38"/>
      <c r="AZ1140" s="38"/>
      <c r="BA1140" s="38"/>
      <c r="BB1140" s="38"/>
      <c r="BC1140" s="38"/>
      <c r="BD1140" s="38"/>
      <c r="BE1140" s="38"/>
      <c r="BF1140" s="38"/>
      <c r="BG1140" s="38"/>
      <c r="BH1140" s="38"/>
      <c r="BI1140" s="38"/>
      <c r="BJ1140" s="38"/>
      <c r="BK1140" s="38"/>
      <c r="BL1140" s="38"/>
      <c r="BM1140" s="38"/>
      <c r="BN1140" s="38"/>
      <c r="BO1140" s="38"/>
      <c r="BP1140" s="38"/>
      <c r="BQ1140" s="38"/>
      <c r="BR1140" s="38"/>
      <c r="BS1140" s="38"/>
      <c r="BT1140" s="38"/>
      <c r="BU1140" s="38"/>
      <c r="BV1140" s="38"/>
    </row>
    <row r="1141" ht="14.25" customHeight="1">
      <c r="A1141" s="74"/>
      <c r="B1141" s="38"/>
      <c r="C1141" s="38"/>
      <c r="D1141" s="38"/>
      <c r="E1141" s="74"/>
      <c r="F1141" s="74"/>
      <c r="G1141" s="74"/>
      <c r="H1141" s="74"/>
      <c r="I1141" s="74"/>
      <c r="J1141" s="74"/>
      <c r="K1141" s="74"/>
      <c r="L1141" s="74"/>
      <c r="M1141" s="74"/>
      <c r="N1141" s="74"/>
      <c r="O1141" s="74"/>
      <c r="P1141" s="74"/>
      <c r="Q1141" s="74"/>
      <c r="R1141" s="74"/>
      <c r="S1141" s="74"/>
      <c r="T1141" s="74"/>
      <c r="U1141" s="74"/>
      <c r="V1141" s="74"/>
      <c r="W1141" s="74"/>
      <c r="X1141" s="74"/>
      <c r="Y1141" s="74"/>
      <c r="Z1141" s="74"/>
      <c r="AA1141" s="74"/>
      <c r="AB1141" s="74"/>
      <c r="AC1141" s="74"/>
      <c r="AD1141" s="74"/>
      <c r="AE1141" s="74"/>
      <c r="AF1141" s="74"/>
      <c r="AG1141" s="74"/>
      <c r="AH1141" s="74"/>
      <c r="AI1141" s="74"/>
      <c r="AJ1141" s="74"/>
      <c r="AK1141" s="74"/>
      <c r="AL1141" s="38"/>
      <c r="AM1141" s="38"/>
      <c r="AN1141" s="75"/>
      <c r="AO1141" s="75"/>
      <c r="AP1141" s="38"/>
      <c r="AQ1141" s="38"/>
      <c r="AR1141" s="38"/>
      <c r="AS1141" s="38"/>
      <c r="AT1141" s="38"/>
      <c r="AU1141" s="38"/>
      <c r="AV1141" s="38"/>
      <c r="AW1141" s="38"/>
      <c r="AX1141" s="38"/>
      <c r="AY1141" s="38"/>
      <c r="AZ1141" s="38"/>
      <c r="BA1141" s="38"/>
      <c r="BB1141" s="38"/>
      <c r="BC1141" s="38"/>
      <c r="BD1141" s="38"/>
      <c r="BE1141" s="38"/>
      <c r="BF1141" s="38"/>
      <c r="BG1141" s="38"/>
      <c r="BH1141" s="38"/>
      <c r="BI1141" s="38"/>
      <c r="BJ1141" s="38"/>
      <c r="BK1141" s="38"/>
      <c r="BL1141" s="38"/>
      <c r="BM1141" s="38"/>
      <c r="BN1141" s="38"/>
      <c r="BO1141" s="38"/>
      <c r="BP1141" s="38"/>
      <c r="BQ1141" s="38"/>
      <c r="BR1141" s="38"/>
      <c r="BS1141" s="38"/>
      <c r="BT1141" s="38"/>
      <c r="BU1141" s="38"/>
      <c r="BV1141" s="38"/>
    </row>
    <row r="1142" ht="14.25" customHeight="1">
      <c r="A1142" s="74"/>
      <c r="B1142" s="38"/>
      <c r="C1142" s="38"/>
      <c r="D1142" s="38"/>
      <c r="E1142" s="74"/>
      <c r="F1142" s="74"/>
      <c r="G1142" s="74"/>
      <c r="H1142" s="74"/>
      <c r="I1142" s="74"/>
      <c r="J1142" s="74"/>
      <c r="K1142" s="74"/>
      <c r="L1142" s="74"/>
      <c r="M1142" s="74"/>
      <c r="N1142" s="74"/>
      <c r="O1142" s="74"/>
      <c r="P1142" s="74"/>
      <c r="Q1142" s="74"/>
      <c r="R1142" s="74"/>
      <c r="S1142" s="74"/>
      <c r="T1142" s="74"/>
      <c r="U1142" s="74"/>
      <c r="V1142" s="74"/>
      <c r="W1142" s="74"/>
      <c r="X1142" s="74"/>
      <c r="Y1142" s="74"/>
      <c r="Z1142" s="74"/>
      <c r="AA1142" s="74"/>
      <c r="AB1142" s="74"/>
      <c r="AC1142" s="74"/>
      <c r="AD1142" s="74"/>
      <c r="AE1142" s="74"/>
      <c r="AF1142" s="74"/>
      <c r="AG1142" s="74"/>
      <c r="AH1142" s="74"/>
      <c r="AI1142" s="74"/>
      <c r="AJ1142" s="74"/>
      <c r="AK1142" s="74"/>
      <c r="AL1142" s="38"/>
      <c r="AM1142" s="38"/>
      <c r="AN1142" s="75"/>
      <c r="AO1142" s="75"/>
      <c r="AP1142" s="38"/>
      <c r="AQ1142" s="38"/>
      <c r="AR1142" s="38"/>
      <c r="AS1142" s="38"/>
      <c r="AT1142" s="38"/>
      <c r="AU1142" s="38"/>
      <c r="AV1142" s="38"/>
      <c r="AW1142" s="38"/>
      <c r="AX1142" s="38"/>
      <c r="AY1142" s="38"/>
      <c r="AZ1142" s="38"/>
      <c r="BA1142" s="38"/>
      <c r="BB1142" s="38"/>
      <c r="BC1142" s="38"/>
      <c r="BD1142" s="38"/>
      <c r="BE1142" s="38"/>
      <c r="BF1142" s="38"/>
      <c r="BG1142" s="38"/>
      <c r="BH1142" s="38"/>
      <c r="BI1142" s="38"/>
      <c r="BJ1142" s="38"/>
      <c r="BK1142" s="38"/>
      <c r="BL1142" s="38"/>
      <c r="BM1142" s="38"/>
      <c r="BN1142" s="38"/>
      <c r="BO1142" s="38"/>
      <c r="BP1142" s="38"/>
      <c r="BQ1142" s="38"/>
      <c r="BR1142" s="38"/>
      <c r="BS1142" s="38"/>
      <c r="BT1142" s="38"/>
      <c r="BU1142" s="38"/>
      <c r="BV1142" s="38"/>
    </row>
    <row r="1143" ht="14.25" customHeight="1">
      <c r="A1143" s="74"/>
      <c r="B1143" s="38"/>
      <c r="C1143" s="38"/>
      <c r="D1143" s="38"/>
      <c r="E1143" s="74"/>
      <c r="F1143" s="74"/>
      <c r="G1143" s="74"/>
      <c r="H1143" s="74"/>
      <c r="I1143" s="74"/>
      <c r="J1143" s="74"/>
      <c r="K1143" s="74"/>
      <c r="L1143" s="74"/>
      <c r="M1143" s="74"/>
      <c r="N1143" s="74"/>
      <c r="O1143" s="74"/>
      <c r="P1143" s="74"/>
      <c r="Q1143" s="74"/>
      <c r="R1143" s="74"/>
      <c r="S1143" s="74"/>
      <c r="T1143" s="74"/>
      <c r="U1143" s="74"/>
      <c r="V1143" s="74"/>
      <c r="W1143" s="74"/>
      <c r="X1143" s="74"/>
      <c r="Y1143" s="74"/>
      <c r="Z1143" s="74"/>
      <c r="AA1143" s="74"/>
      <c r="AB1143" s="74"/>
      <c r="AC1143" s="74"/>
      <c r="AD1143" s="74"/>
      <c r="AE1143" s="74"/>
      <c r="AF1143" s="74"/>
      <c r="AG1143" s="74"/>
      <c r="AH1143" s="74"/>
      <c r="AI1143" s="74"/>
      <c r="AJ1143" s="74"/>
      <c r="AK1143" s="74"/>
      <c r="AL1143" s="38"/>
      <c r="AM1143" s="38"/>
      <c r="AN1143" s="75"/>
      <c r="AO1143" s="75"/>
      <c r="AP1143" s="38"/>
      <c r="AQ1143" s="38"/>
      <c r="AR1143" s="38"/>
      <c r="AS1143" s="38"/>
      <c r="AT1143" s="38"/>
      <c r="AU1143" s="38"/>
      <c r="AV1143" s="38"/>
      <c r="AW1143" s="38"/>
      <c r="AX1143" s="38"/>
      <c r="AY1143" s="38"/>
      <c r="AZ1143" s="38"/>
      <c r="BA1143" s="38"/>
      <c r="BB1143" s="38"/>
      <c r="BC1143" s="38"/>
      <c r="BD1143" s="38"/>
      <c r="BE1143" s="38"/>
      <c r="BF1143" s="38"/>
      <c r="BG1143" s="38"/>
      <c r="BH1143" s="38"/>
      <c r="BI1143" s="38"/>
      <c r="BJ1143" s="38"/>
      <c r="BK1143" s="38"/>
      <c r="BL1143" s="38"/>
      <c r="BM1143" s="38"/>
      <c r="BN1143" s="38"/>
      <c r="BO1143" s="38"/>
      <c r="BP1143" s="38"/>
      <c r="BQ1143" s="38"/>
      <c r="BR1143" s="38"/>
      <c r="BS1143" s="38"/>
      <c r="BT1143" s="38"/>
      <c r="BU1143" s="38"/>
      <c r="BV1143" s="38"/>
    </row>
    <row r="1144" ht="14.25" customHeight="1">
      <c r="A1144" s="74"/>
      <c r="B1144" s="38"/>
      <c r="C1144" s="38"/>
      <c r="D1144" s="38"/>
      <c r="E1144" s="74"/>
      <c r="F1144" s="74"/>
      <c r="G1144" s="74"/>
      <c r="H1144" s="74"/>
      <c r="I1144" s="74"/>
      <c r="J1144" s="74"/>
      <c r="K1144" s="74"/>
      <c r="L1144" s="74"/>
      <c r="M1144" s="74"/>
      <c r="N1144" s="74"/>
      <c r="O1144" s="74"/>
      <c r="P1144" s="74"/>
      <c r="Q1144" s="74"/>
      <c r="R1144" s="74"/>
      <c r="S1144" s="74"/>
      <c r="T1144" s="74"/>
      <c r="U1144" s="74"/>
      <c r="V1144" s="74"/>
      <c r="W1144" s="74"/>
      <c r="X1144" s="74"/>
      <c r="Y1144" s="74"/>
      <c r="Z1144" s="74"/>
      <c r="AA1144" s="74"/>
      <c r="AB1144" s="74"/>
      <c r="AC1144" s="74"/>
      <c r="AD1144" s="74"/>
      <c r="AE1144" s="74"/>
      <c r="AF1144" s="74"/>
      <c r="AG1144" s="74"/>
      <c r="AH1144" s="74"/>
      <c r="AI1144" s="74"/>
      <c r="AJ1144" s="74"/>
      <c r="AK1144" s="74"/>
      <c r="AL1144" s="38"/>
      <c r="AM1144" s="38"/>
      <c r="AN1144" s="75"/>
      <c r="AO1144" s="75"/>
      <c r="AP1144" s="38"/>
      <c r="AQ1144" s="38"/>
      <c r="AR1144" s="38"/>
      <c r="AS1144" s="38"/>
      <c r="AT1144" s="38"/>
      <c r="AU1144" s="38"/>
      <c r="AV1144" s="38"/>
      <c r="AW1144" s="38"/>
      <c r="AX1144" s="38"/>
      <c r="AY1144" s="38"/>
      <c r="AZ1144" s="38"/>
      <c r="BA1144" s="38"/>
      <c r="BB1144" s="38"/>
      <c r="BC1144" s="38"/>
      <c r="BD1144" s="38"/>
      <c r="BE1144" s="38"/>
      <c r="BF1144" s="38"/>
      <c r="BG1144" s="38"/>
      <c r="BH1144" s="38"/>
      <c r="BI1144" s="38"/>
      <c r="BJ1144" s="38"/>
      <c r="BK1144" s="38"/>
      <c r="BL1144" s="38"/>
      <c r="BM1144" s="38"/>
      <c r="BN1144" s="38"/>
      <c r="BO1144" s="38"/>
      <c r="BP1144" s="38"/>
      <c r="BQ1144" s="38"/>
      <c r="BR1144" s="38"/>
      <c r="BS1144" s="38"/>
      <c r="BT1144" s="38"/>
      <c r="BU1144" s="38"/>
      <c r="BV1144" s="38"/>
    </row>
    <row r="1145" ht="14.25" customHeight="1">
      <c r="A1145" s="74"/>
      <c r="B1145" s="38"/>
      <c r="C1145" s="38"/>
      <c r="D1145" s="38"/>
      <c r="E1145" s="74"/>
      <c r="F1145" s="74"/>
      <c r="G1145" s="74"/>
      <c r="H1145" s="74"/>
      <c r="I1145" s="74"/>
      <c r="J1145" s="74"/>
      <c r="K1145" s="74"/>
      <c r="L1145" s="74"/>
      <c r="M1145" s="74"/>
      <c r="N1145" s="74"/>
      <c r="O1145" s="74"/>
      <c r="P1145" s="74"/>
      <c r="Q1145" s="74"/>
      <c r="R1145" s="74"/>
      <c r="S1145" s="74"/>
      <c r="T1145" s="74"/>
      <c r="U1145" s="74"/>
      <c r="V1145" s="74"/>
      <c r="W1145" s="74"/>
      <c r="X1145" s="74"/>
      <c r="Y1145" s="74"/>
      <c r="Z1145" s="74"/>
      <c r="AA1145" s="74"/>
      <c r="AB1145" s="74"/>
      <c r="AC1145" s="74"/>
      <c r="AD1145" s="74"/>
      <c r="AE1145" s="74"/>
      <c r="AF1145" s="74"/>
      <c r="AG1145" s="74"/>
      <c r="AH1145" s="74"/>
      <c r="AI1145" s="74"/>
      <c r="AJ1145" s="74"/>
      <c r="AK1145" s="74"/>
      <c r="AL1145" s="38"/>
      <c r="AM1145" s="38"/>
      <c r="AN1145" s="75"/>
      <c r="AO1145" s="75"/>
      <c r="AP1145" s="38"/>
      <c r="AQ1145" s="38"/>
      <c r="AR1145" s="38"/>
      <c r="AS1145" s="38"/>
      <c r="AT1145" s="38"/>
      <c r="AU1145" s="38"/>
      <c r="AV1145" s="38"/>
      <c r="AW1145" s="38"/>
      <c r="AX1145" s="38"/>
      <c r="AY1145" s="38"/>
      <c r="AZ1145" s="38"/>
      <c r="BA1145" s="38"/>
      <c r="BB1145" s="38"/>
      <c r="BC1145" s="38"/>
      <c r="BD1145" s="38"/>
      <c r="BE1145" s="38"/>
      <c r="BF1145" s="38"/>
      <c r="BG1145" s="38"/>
      <c r="BH1145" s="38"/>
      <c r="BI1145" s="38"/>
      <c r="BJ1145" s="38"/>
      <c r="BK1145" s="38"/>
      <c r="BL1145" s="38"/>
      <c r="BM1145" s="38"/>
      <c r="BN1145" s="38"/>
      <c r="BO1145" s="38"/>
      <c r="BP1145" s="38"/>
      <c r="BQ1145" s="38"/>
      <c r="BR1145" s="38"/>
      <c r="BS1145" s="38"/>
      <c r="BT1145" s="38"/>
      <c r="BU1145" s="38"/>
      <c r="BV1145" s="38"/>
    </row>
    <row r="1146" ht="14.25" customHeight="1">
      <c r="A1146" s="74"/>
      <c r="B1146" s="38"/>
      <c r="C1146" s="38"/>
      <c r="D1146" s="38"/>
      <c r="E1146" s="74"/>
      <c r="F1146" s="74"/>
      <c r="G1146" s="74"/>
      <c r="H1146" s="74"/>
      <c r="I1146" s="74"/>
      <c r="J1146" s="74"/>
      <c r="K1146" s="74"/>
      <c r="L1146" s="74"/>
      <c r="M1146" s="74"/>
      <c r="N1146" s="74"/>
      <c r="O1146" s="74"/>
      <c r="P1146" s="74"/>
      <c r="Q1146" s="74"/>
      <c r="R1146" s="74"/>
      <c r="S1146" s="74"/>
      <c r="T1146" s="74"/>
      <c r="U1146" s="74"/>
      <c r="V1146" s="74"/>
      <c r="W1146" s="74"/>
      <c r="X1146" s="74"/>
      <c r="Y1146" s="74"/>
      <c r="Z1146" s="74"/>
      <c r="AA1146" s="74"/>
      <c r="AB1146" s="74"/>
      <c r="AC1146" s="74"/>
      <c r="AD1146" s="74"/>
      <c r="AE1146" s="74"/>
      <c r="AF1146" s="74"/>
      <c r="AG1146" s="74"/>
      <c r="AH1146" s="74"/>
      <c r="AI1146" s="74"/>
      <c r="AJ1146" s="74"/>
      <c r="AK1146" s="74"/>
      <c r="AL1146" s="38"/>
      <c r="AM1146" s="38"/>
      <c r="AN1146" s="75"/>
      <c r="AO1146" s="75"/>
      <c r="AP1146" s="38"/>
      <c r="AQ1146" s="38"/>
      <c r="AR1146" s="38"/>
      <c r="AS1146" s="38"/>
      <c r="AT1146" s="38"/>
      <c r="AU1146" s="38"/>
      <c r="AV1146" s="38"/>
      <c r="AW1146" s="38"/>
      <c r="AX1146" s="38"/>
      <c r="AY1146" s="38"/>
      <c r="AZ1146" s="38"/>
      <c r="BA1146" s="38"/>
      <c r="BB1146" s="38"/>
      <c r="BC1146" s="38"/>
      <c r="BD1146" s="38"/>
      <c r="BE1146" s="38"/>
      <c r="BF1146" s="38"/>
      <c r="BG1146" s="38"/>
      <c r="BH1146" s="38"/>
      <c r="BI1146" s="38"/>
      <c r="BJ1146" s="38"/>
      <c r="BK1146" s="38"/>
      <c r="BL1146" s="38"/>
      <c r="BM1146" s="38"/>
      <c r="BN1146" s="38"/>
      <c r="BO1146" s="38"/>
      <c r="BP1146" s="38"/>
      <c r="BQ1146" s="38"/>
      <c r="BR1146" s="38"/>
      <c r="BS1146" s="38"/>
      <c r="BT1146" s="38"/>
      <c r="BU1146" s="38"/>
      <c r="BV1146" s="38"/>
    </row>
    <row r="1147" ht="14.25" customHeight="1">
      <c r="A1147" s="74"/>
      <c r="B1147" s="38"/>
      <c r="C1147" s="38"/>
      <c r="D1147" s="38"/>
      <c r="E1147" s="74"/>
      <c r="F1147" s="74"/>
      <c r="G1147" s="74"/>
      <c r="H1147" s="74"/>
      <c r="I1147" s="74"/>
      <c r="J1147" s="74"/>
      <c r="K1147" s="74"/>
      <c r="L1147" s="74"/>
      <c r="M1147" s="74"/>
      <c r="N1147" s="74"/>
      <c r="O1147" s="74"/>
      <c r="P1147" s="74"/>
      <c r="Q1147" s="74"/>
      <c r="R1147" s="74"/>
      <c r="S1147" s="74"/>
      <c r="T1147" s="74"/>
      <c r="U1147" s="74"/>
      <c r="V1147" s="74"/>
      <c r="W1147" s="74"/>
      <c r="X1147" s="74"/>
      <c r="Y1147" s="74"/>
      <c r="Z1147" s="74"/>
      <c r="AA1147" s="74"/>
      <c r="AB1147" s="74"/>
      <c r="AC1147" s="74"/>
      <c r="AD1147" s="74"/>
      <c r="AE1147" s="74"/>
      <c r="AF1147" s="74"/>
      <c r="AG1147" s="74"/>
      <c r="AH1147" s="74"/>
      <c r="AI1147" s="74"/>
      <c r="AJ1147" s="74"/>
      <c r="AK1147" s="74"/>
      <c r="AL1147" s="38"/>
      <c r="AM1147" s="38"/>
      <c r="AN1147" s="75"/>
      <c r="AO1147" s="75"/>
      <c r="AP1147" s="38"/>
      <c r="AQ1147" s="38"/>
      <c r="AR1147" s="38"/>
      <c r="AS1147" s="38"/>
      <c r="AT1147" s="38"/>
      <c r="AU1147" s="38"/>
      <c r="AV1147" s="38"/>
      <c r="AW1147" s="38"/>
      <c r="AX1147" s="38"/>
      <c r="AY1147" s="38"/>
      <c r="AZ1147" s="38"/>
      <c r="BA1147" s="38"/>
      <c r="BB1147" s="38"/>
      <c r="BC1147" s="38"/>
      <c r="BD1147" s="38"/>
      <c r="BE1147" s="38"/>
      <c r="BF1147" s="38"/>
      <c r="BG1147" s="38"/>
      <c r="BH1147" s="38"/>
      <c r="BI1147" s="38"/>
      <c r="BJ1147" s="38"/>
      <c r="BK1147" s="38"/>
      <c r="BL1147" s="38"/>
      <c r="BM1147" s="38"/>
      <c r="BN1147" s="38"/>
      <c r="BO1147" s="38"/>
      <c r="BP1147" s="38"/>
      <c r="BQ1147" s="38"/>
      <c r="BR1147" s="38"/>
      <c r="BS1147" s="38"/>
      <c r="BT1147" s="38"/>
      <c r="BU1147" s="38"/>
      <c r="BV1147" s="38"/>
    </row>
    <row r="1148" ht="14.25" customHeight="1">
      <c r="A1148" s="74"/>
      <c r="B1148" s="38"/>
      <c r="C1148" s="38"/>
      <c r="D1148" s="38"/>
      <c r="E1148" s="74"/>
      <c r="F1148" s="74"/>
      <c r="G1148" s="74"/>
      <c r="H1148" s="74"/>
      <c r="I1148" s="74"/>
      <c r="J1148" s="74"/>
      <c r="K1148" s="74"/>
      <c r="L1148" s="74"/>
      <c r="M1148" s="74"/>
      <c r="N1148" s="74"/>
      <c r="O1148" s="74"/>
      <c r="P1148" s="74"/>
      <c r="Q1148" s="74"/>
      <c r="R1148" s="74"/>
      <c r="S1148" s="74"/>
      <c r="T1148" s="74"/>
      <c r="U1148" s="74"/>
      <c r="V1148" s="74"/>
      <c r="W1148" s="74"/>
      <c r="X1148" s="74"/>
      <c r="Y1148" s="74"/>
      <c r="Z1148" s="74"/>
      <c r="AA1148" s="74"/>
      <c r="AB1148" s="74"/>
      <c r="AC1148" s="74"/>
      <c r="AD1148" s="74"/>
      <c r="AE1148" s="74"/>
      <c r="AF1148" s="74"/>
      <c r="AG1148" s="74"/>
      <c r="AH1148" s="74"/>
      <c r="AI1148" s="74"/>
      <c r="AJ1148" s="74"/>
      <c r="AK1148" s="74"/>
      <c r="AL1148" s="38"/>
      <c r="AM1148" s="38"/>
      <c r="AN1148" s="75"/>
      <c r="AO1148" s="75"/>
      <c r="AP1148" s="38"/>
      <c r="AQ1148" s="38"/>
      <c r="AR1148" s="38"/>
      <c r="AS1148" s="38"/>
      <c r="AT1148" s="38"/>
      <c r="AU1148" s="38"/>
      <c r="AV1148" s="38"/>
      <c r="AW1148" s="38"/>
      <c r="AX1148" s="38"/>
      <c r="AY1148" s="38"/>
      <c r="AZ1148" s="38"/>
      <c r="BA1148" s="38"/>
      <c r="BB1148" s="38"/>
      <c r="BC1148" s="38"/>
      <c r="BD1148" s="38"/>
      <c r="BE1148" s="38"/>
      <c r="BF1148" s="38"/>
      <c r="BG1148" s="38"/>
      <c r="BH1148" s="38"/>
      <c r="BI1148" s="38"/>
      <c r="BJ1148" s="38"/>
      <c r="BK1148" s="38"/>
      <c r="BL1148" s="38"/>
      <c r="BM1148" s="38"/>
      <c r="BN1148" s="38"/>
      <c r="BO1148" s="38"/>
      <c r="BP1148" s="38"/>
      <c r="BQ1148" s="38"/>
      <c r="BR1148" s="38"/>
      <c r="BS1148" s="38"/>
      <c r="BT1148" s="38"/>
      <c r="BU1148" s="38"/>
      <c r="BV1148" s="38"/>
    </row>
    <row r="1149" ht="14.25" customHeight="1">
      <c r="A1149" s="74"/>
      <c r="B1149" s="38"/>
      <c r="C1149" s="38"/>
      <c r="D1149" s="38"/>
      <c r="E1149" s="74"/>
      <c r="F1149" s="74"/>
      <c r="G1149" s="74"/>
      <c r="H1149" s="74"/>
      <c r="I1149" s="74"/>
      <c r="J1149" s="74"/>
      <c r="K1149" s="74"/>
      <c r="L1149" s="74"/>
      <c r="M1149" s="74"/>
      <c r="N1149" s="74"/>
      <c r="O1149" s="74"/>
      <c r="P1149" s="74"/>
      <c r="Q1149" s="74"/>
      <c r="R1149" s="74"/>
      <c r="S1149" s="74"/>
      <c r="T1149" s="74"/>
      <c r="U1149" s="74"/>
      <c r="V1149" s="74"/>
      <c r="W1149" s="74"/>
      <c r="X1149" s="74"/>
      <c r="Y1149" s="74"/>
      <c r="Z1149" s="74"/>
      <c r="AA1149" s="74"/>
      <c r="AB1149" s="74"/>
      <c r="AC1149" s="74"/>
      <c r="AD1149" s="74"/>
      <c r="AE1149" s="74"/>
      <c r="AF1149" s="74"/>
      <c r="AG1149" s="74"/>
      <c r="AH1149" s="74"/>
      <c r="AI1149" s="74"/>
      <c r="AJ1149" s="74"/>
      <c r="AK1149" s="74"/>
      <c r="AL1149" s="38"/>
      <c r="AM1149" s="38"/>
      <c r="AN1149" s="75"/>
      <c r="AO1149" s="75"/>
      <c r="AP1149" s="38"/>
      <c r="AQ1149" s="38"/>
      <c r="AR1149" s="38"/>
      <c r="AS1149" s="38"/>
      <c r="AT1149" s="38"/>
      <c r="AU1149" s="38"/>
      <c r="AV1149" s="38"/>
      <c r="AW1149" s="38"/>
      <c r="AX1149" s="38"/>
      <c r="AY1149" s="38"/>
      <c r="AZ1149" s="38"/>
      <c r="BA1149" s="38"/>
      <c r="BB1149" s="38"/>
      <c r="BC1149" s="38"/>
      <c r="BD1149" s="38"/>
      <c r="BE1149" s="38"/>
      <c r="BF1149" s="38"/>
      <c r="BG1149" s="38"/>
      <c r="BH1149" s="38"/>
      <c r="BI1149" s="38"/>
      <c r="BJ1149" s="38"/>
      <c r="BK1149" s="38"/>
      <c r="BL1149" s="38"/>
      <c r="BM1149" s="38"/>
      <c r="BN1149" s="38"/>
      <c r="BO1149" s="38"/>
      <c r="BP1149" s="38"/>
      <c r="BQ1149" s="38"/>
      <c r="BR1149" s="38"/>
      <c r="BS1149" s="38"/>
      <c r="BT1149" s="38"/>
      <c r="BU1149" s="38"/>
      <c r="BV1149" s="38"/>
    </row>
    <row r="1150" ht="14.25" customHeight="1">
      <c r="A1150" s="74"/>
      <c r="B1150" s="38"/>
      <c r="C1150" s="38"/>
      <c r="D1150" s="38"/>
      <c r="E1150" s="74"/>
      <c r="F1150" s="74"/>
      <c r="G1150" s="74"/>
      <c r="H1150" s="74"/>
      <c r="I1150" s="74"/>
      <c r="J1150" s="74"/>
      <c r="K1150" s="74"/>
      <c r="L1150" s="74"/>
      <c r="M1150" s="74"/>
      <c r="N1150" s="74"/>
      <c r="O1150" s="74"/>
      <c r="P1150" s="74"/>
      <c r="Q1150" s="74"/>
      <c r="R1150" s="74"/>
      <c r="S1150" s="74"/>
      <c r="T1150" s="74"/>
      <c r="U1150" s="74"/>
      <c r="V1150" s="74"/>
      <c r="W1150" s="74"/>
      <c r="X1150" s="74"/>
      <c r="Y1150" s="74"/>
      <c r="Z1150" s="74"/>
      <c r="AA1150" s="74"/>
      <c r="AB1150" s="74"/>
      <c r="AC1150" s="74"/>
      <c r="AD1150" s="74"/>
      <c r="AE1150" s="74"/>
      <c r="AF1150" s="74"/>
      <c r="AG1150" s="74"/>
      <c r="AH1150" s="74"/>
      <c r="AI1150" s="74"/>
      <c r="AJ1150" s="74"/>
      <c r="AK1150" s="74"/>
      <c r="AL1150" s="38"/>
      <c r="AM1150" s="38"/>
      <c r="AN1150" s="75"/>
      <c r="AO1150" s="75"/>
      <c r="AP1150" s="38"/>
      <c r="AQ1150" s="38"/>
      <c r="AR1150" s="38"/>
      <c r="AS1150" s="38"/>
      <c r="AT1150" s="38"/>
      <c r="AU1150" s="38"/>
      <c r="AV1150" s="38"/>
      <c r="AW1150" s="38"/>
      <c r="AX1150" s="38"/>
      <c r="AY1150" s="38"/>
      <c r="AZ1150" s="38"/>
      <c r="BA1150" s="38"/>
      <c r="BB1150" s="38"/>
      <c r="BC1150" s="38"/>
      <c r="BD1150" s="38"/>
      <c r="BE1150" s="38"/>
      <c r="BF1150" s="38"/>
      <c r="BG1150" s="38"/>
      <c r="BH1150" s="38"/>
      <c r="BI1150" s="38"/>
      <c r="BJ1150" s="38"/>
      <c r="BK1150" s="38"/>
      <c r="BL1150" s="38"/>
      <c r="BM1150" s="38"/>
      <c r="BN1150" s="38"/>
      <c r="BO1150" s="38"/>
      <c r="BP1150" s="38"/>
      <c r="BQ1150" s="38"/>
      <c r="BR1150" s="38"/>
      <c r="BS1150" s="38"/>
      <c r="BT1150" s="38"/>
      <c r="BU1150" s="38"/>
      <c r="BV1150" s="38"/>
    </row>
    <row r="1151" ht="14.25" customHeight="1">
      <c r="A1151" s="74"/>
      <c r="B1151" s="38"/>
      <c r="C1151" s="38"/>
      <c r="D1151" s="38"/>
      <c r="E1151" s="74"/>
      <c r="F1151" s="74"/>
      <c r="G1151" s="74"/>
      <c r="H1151" s="74"/>
      <c r="I1151" s="74"/>
      <c r="J1151" s="74"/>
      <c r="K1151" s="74"/>
      <c r="L1151" s="74"/>
      <c r="M1151" s="74"/>
      <c r="N1151" s="74"/>
      <c r="O1151" s="74"/>
      <c r="P1151" s="74"/>
      <c r="Q1151" s="74"/>
      <c r="R1151" s="74"/>
      <c r="S1151" s="74"/>
      <c r="T1151" s="74"/>
      <c r="U1151" s="74"/>
      <c r="V1151" s="74"/>
      <c r="W1151" s="74"/>
      <c r="X1151" s="74"/>
      <c r="Y1151" s="74"/>
      <c r="Z1151" s="74"/>
      <c r="AA1151" s="74"/>
      <c r="AB1151" s="74"/>
      <c r="AC1151" s="74"/>
      <c r="AD1151" s="74"/>
      <c r="AE1151" s="74"/>
      <c r="AF1151" s="74"/>
      <c r="AG1151" s="74"/>
      <c r="AH1151" s="74"/>
      <c r="AI1151" s="74"/>
      <c r="AJ1151" s="74"/>
      <c r="AK1151" s="74"/>
      <c r="AL1151" s="38"/>
      <c r="AM1151" s="38"/>
      <c r="AN1151" s="75"/>
      <c r="AO1151" s="75"/>
      <c r="AP1151" s="38"/>
      <c r="AQ1151" s="38"/>
      <c r="AR1151" s="38"/>
      <c r="AS1151" s="38"/>
      <c r="AT1151" s="38"/>
      <c r="AU1151" s="38"/>
      <c r="AV1151" s="38"/>
      <c r="AW1151" s="38"/>
      <c r="AX1151" s="38"/>
      <c r="AY1151" s="38"/>
      <c r="AZ1151" s="38"/>
      <c r="BA1151" s="38"/>
      <c r="BB1151" s="38"/>
      <c r="BC1151" s="38"/>
      <c r="BD1151" s="38"/>
      <c r="BE1151" s="38"/>
      <c r="BF1151" s="38"/>
      <c r="BG1151" s="38"/>
      <c r="BH1151" s="38"/>
      <c r="BI1151" s="38"/>
      <c r="BJ1151" s="38"/>
      <c r="BK1151" s="38"/>
      <c r="BL1151" s="38"/>
      <c r="BM1151" s="38"/>
      <c r="BN1151" s="38"/>
      <c r="BO1151" s="38"/>
      <c r="BP1151" s="38"/>
      <c r="BQ1151" s="38"/>
      <c r="BR1151" s="38"/>
      <c r="BS1151" s="38"/>
      <c r="BT1151" s="38"/>
      <c r="BU1151" s="38"/>
      <c r="BV1151" s="38"/>
    </row>
    <row r="1152" ht="14.25" customHeight="1">
      <c r="A1152" s="74"/>
      <c r="B1152" s="38"/>
      <c r="C1152" s="38"/>
      <c r="D1152" s="38"/>
      <c r="E1152" s="74"/>
      <c r="F1152" s="74"/>
      <c r="G1152" s="74"/>
      <c r="H1152" s="74"/>
      <c r="I1152" s="74"/>
      <c r="J1152" s="74"/>
      <c r="K1152" s="74"/>
      <c r="L1152" s="74"/>
      <c r="M1152" s="74"/>
      <c r="N1152" s="74"/>
      <c r="O1152" s="74"/>
      <c r="P1152" s="74"/>
      <c r="Q1152" s="74"/>
      <c r="R1152" s="74"/>
      <c r="S1152" s="74"/>
      <c r="T1152" s="74"/>
      <c r="U1152" s="74"/>
      <c r="V1152" s="74"/>
      <c r="W1152" s="74"/>
      <c r="X1152" s="74"/>
      <c r="Y1152" s="74"/>
      <c r="Z1152" s="74"/>
      <c r="AA1152" s="74"/>
      <c r="AB1152" s="74"/>
      <c r="AC1152" s="74"/>
      <c r="AD1152" s="74"/>
      <c r="AE1152" s="74"/>
      <c r="AF1152" s="74"/>
      <c r="AG1152" s="74"/>
      <c r="AH1152" s="74"/>
      <c r="AI1152" s="74"/>
      <c r="AJ1152" s="74"/>
      <c r="AK1152" s="74"/>
      <c r="AL1152" s="38"/>
      <c r="AM1152" s="38"/>
      <c r="AN1152" s="75"/>
      <c r="AO1152" s="75"/>
      <c r="AP1152" s="38"/>
      <c r="AQ1152" s="38"/>
      <c r="AR1152" s="38"/>
      <c r="AS1152" s="38"/>
      <c r="AT1152" s="38"/>
      <c r="AU1152" s="38"/>
      <c r="AV1152" s="38"/>
      <c r="AW1152" s="38"/>
      <c r="AX1152" s="38"/>
      <c r="AY1152" s="38"/>
      <c r="AZ1152" s="38"/>
      <c r="BA1152" s="38"/>
      <c r="BB1152" s="38"/>
      <c r="BC1152" s="38"/>
      <c r="BD1152" s="38"/>
      <c r="BE1152" s="38"/>
      <c r="BF1152" s="38"/>
      <c r="BG1152" s="38"/>
      <c r="BH1152" s="38"/>
      <c r="BI1152" s="38"/>
      <c r="BJ1152" s="38"/>
      <c r="BK1152" s="38"/>
      <c r="BL1152" s="38"/>
      <c r="BM1152" s="38"/>
      <c r="BN1152" s="38"/>
      <c r="BO1152" s="38"/>
      <c r="BP1152" s="38"/>
      <c r="BQ1152" s="38"/>
      <c r="BR1152" s="38"/>
      <c r="BS1152" s="38"/>
      <c r="BT1152" s="38"/>
      <c r="BU1152" s="38"/>
      <c r="BV1152" s="38"/>
    </row>
    <row r="1153" ht="14.25" customHeight="1">
      <c r="A1153" s="74"/>
      <c r="B1153" s="38"/>
      <c r="C1153" s="38"/>
      <c r="D1153" s="38"/>
      <c r="E1153" s="74"/>
      <c r="F1153" s="74"/>
      <c r="G1153" s="74"/>
      <c r="H1153" s="74"/>
      <c r="I1153" s="74"/>
      <c r="J1153" s="74"/>
      <c r="K1153" s="74"/>
      <c r="L1153" s="74"/>
      <c r="M1153" s="74"/>
      <c r="N1153" s="74"/>
      <c r="O1153" s="74"/>
      <c r="P1153" s="74"/>
      <c r="Q1153" s="74"/>
      <c r="R1153" s="74"/>
      <c r="S1153" s="74"/>
      <c r="T1153" s="74"/>
      <c r="U1153" s="74"/>
      <c r="V1153" s="74"/>
      <c r="W1153" s="74"/>
      <c r="X1153" s="74"/>
      <c r="Y1153" s="74"/>
      <c r="Z1153" s="74"/>
      <c r="AA1153" s="74"/>
      <c r="AB1153" s="74"/>
      <c r="AC1153" s="74"/>
      <c r="AD1153" s="74"/>
      <c r="AE1153" s="74"/>
      <c r="AF1153" s="74"/>
      <c r="AG1153" s="74"/>
      <c r="AH1153" s="74"/>
      <c r="AI1153" s="74"/>
      <c r="AJ1153" s="74"/>
      <c r="AK1153" s="74"/>
      <c r="AL1153" s="38"/>
      <c r="AM1153" s="38"/>
      <c r="AN1153" s="75"/>
      <c r="AO1153" s="75"/>
      <c r="AP1153" s="38"/>
      <c r="AQ1153" s="38"/>
      <c r="AR1153" s="38"/>
      <c r="AS1153" s="38"/>
      <c r="AT1153" s="38"/>
      <c r="AU1153" s="38"/>
      <c r="AV1153" s="38"/>
      <c r="AW1153" s="38"/>
      <c r="AX1153" s="38"/>
      <c r="AY1153" s="38"/>
      <c r="AZ1153" s="38"/>
      <c r="BA1153" s="38"/>
      <c r="BB1153" s="38"/>
      <c r="BC1153" s="38"/>
      <c r="BD1153" s="38"/>
      <c r="BE1153" s="38"/>
      <c r="BF1153" s="38"/>
      <c r="BG1153" s="38"/>
      <c r="BH1153" s="38"/>
      <c r="BI1153" s="38"/>
      <c r="BJ1153" s="38"/>
      <c r="BK1153" s="38"/>
      <c r="BL1153" s="38"/>
      <c r="BM1153" s="38"/>
      <c r="BN1153" s="38"/>
      <c r="BO1153" s="38"/>
      <c r="BP1153" s="38"/>
      <c r="BQ1153" s="38"/>
      <c r="BR1153" s="38"/>
      <c r="BS1153" s="38"/>
      <c r="BT1153" s="38"/>
      <c r="BU1153" s="38"/>
      <c r="BV1153" s="38"/>
    </row>
    <row r="1154" ht="14.25" customHeight="1">
      <c r="A1154" s="74"/>
      <c r="B1154" s="38"/>
      <c r="C1154" s="38"/>
      <c r="D1154" s="38"/>
      <c r="E1154" s="74"/>
      <c r="F1154" s="74"/>
      <c r="G1154" s="74"/>
      <c r="H1154" s="74"/>
      <c r="I1154" s="74"/>
      <c r="J1154" s="74"/>
      <c r="K1154" s="74"/>
      <c r="L1154" s="74"/>
      <c r="M1154" s="74"/>
      <c r="N1154" s="74"/>
      <c r="O1154" s="74"/>
      <c r="P1154" s="74"/>
      <c r="Q1154" s="74"/>
      <c r="R1154" s="74"/>
      <c r="S1154" s="74"/>
      <c r="T1154" s="74"/>
      <c r="U1154" s="74"/>
      <c r="V1154" s="74"/>
      <c r="W1154" s="74"/>
      <c r="X1154" s="74"/>
      <c r="Y1154" s="74"/>
      <c r="Z1154" s="74"/>
      <c r="AA1154" s="74"/>
      <c r="AB1154" s="74"/>
      <c r="AC1154" s="74"/>
      <c r="AD1154" s="74"/>
      <c r="AE1154" s="74"/>
      <c r="AF1154" s="74"/>
      <c r="AG1154" s="74"/>
      <c r="AH1154" s="74"/>
      <c r="AI1154" s="74"/>
      <c r="AJ1154" s="74"/>
      <c r="AK1154" s="74"/>
      <c r="AL1154" s="38"/>
      <c r="AM1154" s="38"/>
      <c r="AN1154" s="75"/>
      <c r="AO1154" s="75"/>
      <c r="AP1154" s="38"/>
      <c r="AQ1154" s="38"/>
      <c r="AR1154" s="38"/>
      <c r="AS1154" s="38"/>
      <c r="AT1154" s="38"/>
      <c r="AU1154" s="38"/>
      <c r="AV1154" s="38"/>
      <c r="AW1154" s="38"/>
      <c r="AX1154" s="38"/>
      <c r="AY1154" s="38"/>
      <c r="AZ1154" s="38"/>
      <c r="BA1154" s="38"/>
      <c r="BB1154" s="38"/>
      <c r="BC1154" s="38"/>
      <c r="BD1154" s="38"/>
      <c r="BE1154" s="38"/>
      <c r="BF1154" s="38"/>
      <c r="BG1154" s="38"/>
      <c r="BH1154" s="38"/>
      <c r="BI1154" s="38"/>
      <c r="BJ1154" s="38"/>
      <c r="BK1154" s="38"/>
      <c r="BL1154" s="38"/>
      <c r="BM1154" s="38"/>
      <c r="BN1154" s="38"/>
      <c r="BO1154" s="38"/>
      <c r="BP1154" s="38"/>
      <c r="BQ1154" s="38"/>
      <c r="BR1154" s="38"/>
      <c r="BS1154" s="38"/>
      <c r="BT1154" s="38"/>
      <c r="BU1154" s="38"/>
      <c r="BV1154" s="38"/>
    </row>
    <row r="1155" ht="14.25" customHeight="1">
      <c r="A1155" s="74"/>
      <c r="B1155" s="38"/>
      <c r="C1155" s="38"/>
      <c r="D1155" s="38"/>
      <c r="E1155" s="74"/>
      <c r="F1155" s="74"/>
      <c r="G1155" s="74"/>
      <c r="H1155" s="74"/>
      <c r="I1155" s="74"/>
      <c r="J1155" s="74"/>
      <c r="K1155" s="74"/>
      <c r="L1155" s="74"/>
      <c r="M1155" s="74"/>
      <c r="N1155" s="74"/>
      <c r="O1155" s="74"/>
      <c r="P1155" s="74"/>
      <c r="Q1155" s="74"/>
      <c r="R1155" s="74"/>
      <c r="S1155" s="74"/>
      <c r="T1155" s="74"/>
      <c r="U1155" s="74"/>
      <c r="V1155" s="74"/>
      <c r="W1155" s="74"/>
      <c r="X1155" s="74"/>
      <c r="Y1155" s="74"/>
      <c r="Z1155" s="74"/>
      <c r="AA1155" s="74"/>
      <c r="AB1155" s="74"/>
      <c r="AC1155" s="74"/>
      <c r="AD1155" s="74"/>
      <c r="AE1155" s="74"/>
      <c r="AF1155" s="74"/>
      <c r="AG1155" s="74"/>
      <c r="AH1155" s="74"/>
      <c r="AI1155" s="74"/>
      <c r="AJ1155" s="74"/>
      <c r="AK1155" s="74"/>
      <c r="AL1155" s="38"/>
      <c r="AM1155" s="38"/>
      <c r="AN1155" s="75"/>
      <c r="AO1155" s="75"/>
      <c r="AP1155" s="38"/>
      <c r="AQ1155" s="38"/>
      <c r="AR1155" s="38"/>
      <c r="AS1155" s="38"/>
      <c r="AT1155" s="38"/>
      <c r="AU1155" s="38"/>
      <c r="AV1155" s="38"/>
      <c r="AW1155" s="38"/>
      <c r="AX1155" s="38"/>
      <c r="AY1155" s="38"/>
      <c r="AZ1155" s="38"/>
      <c r="BA1155" s="38"/>
      <c r="BB1155" s="38"/>
      <c r="BC1155" s="38"/>
      <c r="BD1155" s="38"/>
      <c r="BE1155" s="38"/>
      <c r="BF1155" s="38"/>
      <c r="BG1155" s="38"/>
      <c r="BH1155" s="38"/>
      <c r="BI1155" s="38"/>
      <c r="BJ1155" s="38"/>
      <c r="BK1155" s="38"/>
      <c r="BL1155" s="38"/>
      <c r="BM1155" s="38"/>
      <c r="BN1155" s="38"/>
      <c r="BO1155" s="38"/>
      <c r="BP1155" s="38"/>
      <c r="BQ1155" s="38"/>
      <c r="BR1155" s="38"/>
      <c r="BS1155" s="38"/>
      <c r="BT1155" s="38"/>
      <c r="BU1155" s="38"/>
      <c r="BV1155" s="38"/>
    </row>
    <row r="1156" ht="14.25" customHeight="1">
      <c r="A1156" s="74"/>
      <c r="B1156" s="38"/>
      <c r="C1156" s="38"/>
      <c r="D1156" s="38"/>
      <c r="E1156" s="74"/>
      <c r="F1156" s="74"/>
      <c r="G1156" s="74"/>
      <c r="H1156" s="74"/>
      <c r="I1156" s="74"/>
      <c r="J1156" s="74"/>
      <c r="K1156" s="74"/>
      <c r="L1156" s="74"/>
      <c r="M1156" s="74"/>
      <c r="N1156" s="74"/>
      <c r="O1156" s="74"/>
      <c r="P1156" s="74"/>
      <c r="Q1156" s="74"/>
      <c r="R1156" s="74"/>
      <c r="S1156" s="74"/>
      <c r="T1156" s="74"/>
      <c r="U1156" s="74"/>
      <c r="V1156" s="74"/>
      <c r="W1156" s="74"/>
      <c r="X1156" s="74"/>
      <c r="Y1156" s="74"/>
      <c r="Z1156" s="74"/>
      <c r="AA1156" s="74"/>
      <c r="AB1156" s="74"/>
      <c r="AC1156" s="74"/>
      <c r="AD1156" s="74"/>
      <c r="AE1156" s="74"/>
      <c r="AF1156" s="74"/>
      <c r="AG1156" s="74"/>
      <c r="AH1156" s="74"/>
      <c r="AI1156" s="74"/>
      <c r="AJ1156" s="74"/>
      <c r="AK1156" s="74"/>
      <c r="AL1156" s="38"/>
      <c r="AM1156" s="38"/>
      <c r="AN1156" s="75"/>
      <c r="AO1156" s="75"/>
      <c r="AP1156" s="38"/>
      <c r="AQ1156" s="38"/>
      <c r="AR1156" s="38"/>
      <c r="AS1156" s="38"/>
      <c r="AT1156" s="38"/>
      <c r="AU1156" s="38"/>
      <c r="AV1156" s="38"/>
      <c r="AW1156" s="38"/>
      <c r="AX1156" s="38"/>
      <c r="AY1156" s="38"/>
      <c r="AZ1156" s="38"/>
      <c r="BA1156" s="38"/>
      <c r="BB1156" s="38"/>
      <c r="BC1156" s="38"/>
      <c r="BD1156" s="38"/>
      <c r="BE1156" s="38"/>
      <c r="BF1156" s="38"/>
      <c r="BG1156" s="38"/>
      <c r="BH1156" s="38"/>
      <c r="BI1156" s="38"/>
      <c r="BJ1156" s="38"/>
      <c r="BK1156" s="38"/>
      <c r="BL1156" s="38"/>
      <c r="BM1156" s="38"/>
      <c r="BN1156" s="38"/>
      <c r="BO1156" s="38"/>
      <c r="BP1156" s="38"/>
      <c r="BQ1156" s="38"/>
      <c r="BR1156" s="38"/>
      <c r="BS1156" s="38"/>
      <c r="BT1156" s="38"/>
      <c r="BU1156" s="38"/>
      <c r="BV1156" s="38"/>
    </row>
    <row r="1157" ht="14.25" customHeight="1">
      <c r="A1157" s="74"/>
      <c r="B1157" s="38"/>
      <c r="C1157" s="38"/>
      <c r="D1157" s="38"/>
      <c r="E1157" s="74"/>
      <c r="F1157" s="74"/>
      <c r="G1157" s="74"/>
      <c r="H1157" s="74"/>
      <c r="I1157" s="74"/>
      <c r="J1157" s="74"/>
      <c r="K1157" s="74"/>
      <c r="L1157" s="74"/>
      <c r="M1157" s="74"/>
      <c r="N1157" s="74"/>
      <c r="O1157" s="74"/>
      <c r="P1157" s="74"/>
      <c r="Q1157" s="74"/>
      <c r="R1157" s="74"/>
      <c r="S1157" s="74"/>
      <c r="T1157" s="74"/>
      <c r="U1157" s="74"/>
      <c r="V1157" s="74"/>
      <c r="W1157" s="74"/>
      <c r="X1157" s="74"/>
      <c r="Y1157" s="74"/>
      <c r="Z1157" s="74"/>
      <c r="AA1157" s="74"/>
      <c r="AB1157" s="74"/>
      <c r="AC1157" s="74"/>
      <c r="AD1157" s="74"/>
      <c r="AE1157" s="74"/>
      <c r="AF1157" s="74"/>
      <c r="AG1157" s="74"/>
      <c r="AH1157" s="74"/>
      <c r="AI1157" s="74"/>
      <c r="AJ1157" s="74"/>
      <c r="AK1157" s="74"/>
      <c r="AL1157" s="38"/>
      <c r="AM1157" s="38"/>
      <c r="AN1157" s="75"/>
      <c r="AO1157" s="75"/>
      <c r="AP1157" s="38"/>
      <c r="AQ1157" s="38"/>
      <c r="AR1157" s="38"/>
      <c r="AS1157" s="38"/>
      <c r="AT1157" s="38"/>
      <c r="AU1157" s="38"/>
      <c r="AV1157" s="38"/>
      <c r="AW1157" s="38"/>
      <c r="AX1157" s="38"/>
      <c r="AY1157" s="38"/>
      <c r="AZ1157" s="38"/>
      <c r="BA1157" s="38"/>
      <c r="BB1157" s="38"/>
      <c r="BC1157" s="38"/>
      <c r="BD1157" s="38"/>
      <c r="BE1157" s="38"/>
      <c r="BF1157" s="38"/>
      <c r="BG1157" s="38"/>
      <c r="BH1157" s="38"/>
      <c r="BI1157" s="38"/>
      <c r="BJ1157" s="38"/>
      <c r="BK1157" s="38"/>
      <c r="BL1157" s="38"/>
      <c r="BM1157" s="38"/>
      <c r="BN1157" s="38"/>
      <c r="BO1157" s="38"/>
      <c r="BP1157" s="38"/>
      <c r="BQ1157" s="38"/>
      <c r="BR1157" s="38"/>
      <c r="BS1157" s="38"/>
      <c r="BT1157" s="38"/>
      <c r="BU1157" s="38"/>
      <c r="BV1157" s="38"/>
    </row>
    <row r="1158" ht="14.25" customHeight="1">
      <c r="A1158" s="74"/>
      <c r="B1158" s="38"/>
      <c r="C1158" s="38"/>
      <c r="D1158" s="38"/>
      <c r="E1158" s="74"/>
      <c r="F1158" s="74"/>
      <c r="G1158" s="74"/>
      <c r="H1158" s="74"/>
      <c r="I1158" s="74"/>
      <c r="J1158" s="74"/>
      <c r="K1158" s="74"/>
      <c r="L1158" s="74"/>
      <c r="M1158" s="74"/>
      <c r="N1158" s="74"/>
      <c r="O1158" s="74"/>
      <c r="P1158" s="74"/>
      <c r="Q1158" s="74"/>
      <c r="R1158" s="74"/>
      <c r="S1158" s="74"/>
      <c r="T1158" s="74"/>
      <c r="U1158" s="74"/>
      <c r="V1158" s="74"/>
      <c r="W1158" s="74"/>
      <c r="X1158" s="74"/>
      <c r="Y1158" s="74"/>
      <c r="Z1158" s="74"/>
      <c r="AA1158" s="74"/>
      <c r="AB1158" s="74"/>
      <c r="AC1158" s="74"/>
      <c r="AD1158" s="74"/>
      <c r="AE1158" s="74"/>
      <c r="AF1158" s="74"/>
      <c r="AG1158" s="74"/>
      <c r="AH1158" s="74"/>
      <c r="AI1158" s="74"/>
      <c r="AJ1158" s="74"/>
      <c r="AK1158" s="74"/>
      <c r="AL1158" s="38"/>
      <c r="AM1158" s="38"/>
      <c r="AN1158" s="75"/>
      <c r="AO1158" s="75"/>
      <c r="AP1158" s="38"/>
      <c r="AQ1158" s="38"/>
      <c r="AR1158" s="38"/>
      <c r="AS1158" s="38"/>
      <c r="AT1158" s="38"/>
      <c r="AU1158" s="38"/>
      <c r="AV1158" s="38"/>
      <c r="AW1158" s="38"/>
      <c r="AX1158" s="38"/>
      <c r="AY1158" s="38"/>
      <c r="AZ1158" s="38"/>
      <c r="BA1158" s="38"/>
      <c r="BB1158" s="38"/>
      <c r="BC1158" s="38"/>
      <c r="BD1158" s="38"/>
      <c r="BE1158" s="38"/>
      <c r="BF1158" s="38"/>
      <c r="BG1158" s="38"/>
      <c r="BH1158" s="38"/>
      <c r="BI1158" s="38"/>
      <c r="BJ1158" s="38"/>
      <c r="BK1158" s="38"/>
      <c r="BL1158" s="38"/>
      <c r="BM1158" s="38"/>
      <c r="BN1158" s="38"/>
      <c r="BO1158" s="38"/>
      <c r="BP1158" s="38"/>
      <c r="BQ1158" s="38"/>
      <c r="BR1158" s="38"/>
      <c r="BS1158" s="38"/>
      <c r="BT1158" s="38"/>
      <c r="BU1158" s="38"/>
      <c r="BV1158" s="38"/>
    </row>
    <row r="1159" ht="14.25" customHeight="1">
      <c r="A1159" s="74"/>
      <c r="B1159" s="38"/>
      <c r="C1159" s="38"/>
      <c r="D1159" s="38"/>
      <c r="E1159" s="74"/>
      <c r="F1159" s="74"/>
      <c r="G1159" s="74"/>
      <c r="H1159" s="74"/>
      <c r="I1159" s="74"/>
      <c r="J1159" s="74"/>
      <c r="K1159" s="74"/>
      <c r="L1159" s="74"/>
      <c r="M1159" s="74"/>
      <c r="N1159" s="74"/>
      <c r="O1159" s="74"/>
      <c r="P1159" s="74"/>
      <c r="Q1159" s="74"/>
      <c r="R1159" s="74"/>
      <c r="S1159" s="74"/>
      <c r="T1159" s="74"/>
      <c r="U1159" s="74"/>
      <c r="V1159" s="74"/>
      <c r="W1159" s="74"/>
      <c r="X1159" s="74"/>
      <c r="Y1159" s="74"/>
      <c r="Z1159" s="74"/>
      <c r="AA1159" s="74"/>
      <c r="AB1159" s="74"/>
      <c r="AC1159" s="74"/>
      <c r="AD1159" s="74"/>
      <c r="AE1159" s="74"/>
      <c r="AF1159" s="74"/>
      <c r="AG1159" s="74"/>
      <c r="AH1159" s="74"/>
      <c r="AI1159" s="74"/>
      <c r="AJ1159" s="74"/>
      <c r="AK1159" s="74"/>
      <c r="AL1159" s="38"/>
      <c r="AM1159" s="38"/>
      <c r="AN1159" s="75"/>
      <c r="AO1159" s="75"/>
      <c r="AP1159" s="38"/>
      <c r="AQ1159" s="38"/>
      <c r="AR1159" s="38"/>
      <c r="AS1159" s="38"/>
      <c r="AT1159" s="38"/>
      <c r="AU1159" s="38"/>
      <c r="AV1159" s="38"/>
      <c r="AW1159" s="38"/>
      <c r="AX1159" s="38"/>
      <c r="AY1159" s="38"/>
      <c r="AZ1159" s="38"/>
      <c r="BA1159" s="38"/>
      <c r="BB1159" s="38"/>
      <c r="BC1159" s="38"/>
      <c r="BD1159" s="38"/>
      <c r="BE1159" s="38"/>
      <c r="BF1159" s="38"/>
      <c r="BG1159" s="38"/>
      <c r="BH1159" s="38"/>
      <c r="BI1159" s="38"/>
      <c r="BJ1159" s="38"/>
      <c r="BK1159" s="38"/>
      <c r="BL1159" s="38"/>
      <c r="BM1159" s="38"/>
      <c r="BN1159" s="38"/>
      <c r="BO1159" s="38"/>
      <c r="BP1159" s="38"/>
      <c r="BQ1159" s="38"/>
      <c r="BR1159" s="38"/>
      <c r="BS1159" s="38"/>
      <c r="BT1159" s="38"/>
      <c r="BU1159" s="38"/>
      <c r="BV1159" s="38"/>
    </row>
    <row r="1160" ht="14.25" customHeight="1">
      <c r="A1160" s="74"/>
      <c r="B1160" s="38"/>
      <c r="C1160" s="38"/>
      <c r="D1160" s="38"/>
      <c r="E1160" s="74"/>
      <c r="F1160" s="74"/>
      <c r="G1160" s="74"/>
      <c r="H1160" s="74"/>
      <c r="I1160" s="74"/>
      <c r="J1160" s="74"/>
      <c r="K1160" s="74"/>
      <c r="L1160" s="74"/>
      <c r="M1160" s="74"/>
      <c r="N1160" s="74"/>
      <c r="O1160" s="74"/>
      <c r="P1160" s="74"/>
      <c r="Q1160" s="74"/>
      <c r="R1160" s="74"/>
      <c r="S1160" s="74"/>
      <c r="T1160" s="74"/>
      <c r="U1160" s="74"/>
      <c r="V1160" s="74"/>
      <c r="W1160" s="74"/>
      <c r="X1160" s="74"/>
      <c r="Y1160" s="74"/>
      <c r="Z1160" s="74"/>
      <c r="AA1160" s="74"/>
      <c r="AB1160" s="74"/>
      <c r="AC1160" s="74"/>
      <c r="AD1160" s="74"/>
      <c r="AE1160" s="74"/>
      <c r="AF1160" s="74"/>
      <c r="AG1160" s="74"/>
      <c r="AH1160" s="74"/>
      <c r="AI1160" s="74"/>
      <c r="AJ1160" s="74"/>
      <c r="AK1160" s="74"/>
      <c r="AL1160" s="38"/>
      <c r="AM1160" s="38"/>
      <c r="AN1160" s="75"/>
      <c r="AO1160" s="75"/>
      <c r="AP1160" s="38"/>
      <c r="AQ1160" s="38"/>
      <c r="AR1160" s="38"/>
      <c r="AS1160" s="38"/>
      <c r="AT1160" s="38"/>
      <c r="AU1160" s="38"/>
      <c r="AV1160" s="38"/>
      <c r="AW1160" s="38"/>
      <c r="AX1160" s="38"/>
      <c r="AY1160" s="38"/>
      <c r="AZ1160" s="38"/>
      <c r="BA1160" s="38"/>
      <c r="BB1160" s="38"/>
      <c r="BC1160" s="38"/>
      <c r="BD1160" s="38"/>
      <c r="BE1160" s="38"/>
      <c r="BF1160" s="38"/>
      <c r="BG1160" s="38"/>
      <c r="BH1160" s="38"/>
      <c r="BI1160" s="38"/>
      <c r="BJ1160" s="38"/>
      <c r="BK1160" s="38"/>
      <c r="BL1160" s="38"/>
      <c r="BM1160" s="38"/>
      <c r="BN1160" s="38"/>
      <c r="BO1160" s="38"/>
      <c r="BP1160" s="38"/>
      <c r="BQ1160" s="38"/>
      <c r="BR1160" s="38"/>
      <c r="BS1160" s="38"/>
      <c r="BT1160" s="38"/>
      <c r="BU1160" s="38"/>
      <c r="BV1160" s="38"/>
    </row>
    <row r="1161" ht="14.25" customHeight="1">
      <c r="A1161" s="74"/>
      <c r="B1161" s="38"/>
      <c r="C1161" s="38"/>
      <c r="D1161" s="38"/>
      <c r="E1161" s="74"/>
      <c r="F1161" s="74"/>
      <c r="G1161" s="74"/>
      <c r="H1161" s="74"/>
      <c r="I1161" s="74"/>
      <c r="J1161" s="74"/>
      <c r="K1161" s="74"/>
      <c r="L1161" s="74"/>
      <c r="M1161" s="74"/>
      <c r="N1161" s="74"/>
      <c r="O1161" s="74"/>
      <c r="P1161" s="74"/>
      <c r="Q1161" s="74"/>
      <c r="R1161" s="74"/>
      <c r="S1161" s="74"/>
      <c r="T1161" s="74"/>
      <c r="U1161" s="74"/>
      <c r="V1161" s="74"/>
      <c r="W1161" s="74"/>
      <c r="X1161" s="74"/>
      <c r="Y1161" s="74"/>
      <c r="Z1161" s="74"/>
      <c r="AA1161" s="74"/>
      <c r="AB1161" s="74"/>
      <c r="AC1161" s="74"/>
      <c r="AD1161" s="74"/>
      <c r="AE1161" s="74"/>
      <c r="AF1161" s="74"/>
      <c r="AG1161" s="74"/>
      <c r="AH1161" s="74"/>
      <c r="AI1161" s="74"/>
      <c r="AJ1161" s="74"/>
      <c r="AK1161" s="74"/>
      <c r="AL1161" s="38"/>
      <c r="AM1161" s="38"/>
      <c r="AN1161" s="75"/>
      <c r="AO1161" s="75"/>
      <c r="AP1161" s="38"/>
      <c r="AQ1161" s="38"/>
      <c r="AR1161" s="38"/>
      <c r="AS1161" s="38"/>
      <c r="AT1161" s="38"/>
      <c r="AU1161" s="38"/>
      <c r="AV1161" s="38"/>
      <c r="AW1161" s="38"/>
      <c r="AX1161" s="38"/>
      <c r="AY1161" s="38"/>
      <c r="AZ1161" s="38"/>
      <c r="BA1161" s="38"/>
      <c r="BB1161" s="38"/>
      <c r="BC1161" s="38"/>
      <c r="BD1161" s="38"/>
      <c r="BE1161" s="38"/>
      <c r="BF1161" s="38"/>
      <c r="BG1161" s="38"/>
      <c r="BH1161" s="38"/>
      <c r="BI1161" s="38"/>
      <c r="BJ1161" s="38"/>
      <c r="BK1161" s="38"/>
      <c r="BL1161" s="38"/>
      <c r="BM1161" s="38"/>
      <c r="BN1161" s="38"/>
      <c r="BO1161" s="38"/>
      <c r="BP1161" s="38"/>
      <c r="BQ1161" s="38"/>
      <c r="BR1161" s="38"/>
      <c r="BS1161" s="38"/>
      <c r="BT1161" s="38"/>
      <c r="BU1161" s="38"/>
      <c r="BV1161" s="38"/>
    </row>
    <row r="1162" ht="14.25" customHeight="1">
      <c r="A1162" s="74"/>
      <c r="B1162" s="38"/>
      <c r="C1162" s="38"/>
      <c r="D1162" s="38"/>
      <c r="E1162" s="74"/>
      <c r="F1162" s="74"/>
      <c r="G1162" s="74"/>
      <c r="H1162" s="74"/>
      <c r="I1162" s="74"/>
      <c r="J1162" s="74"/>
      <c r="K1162" s="74"/>
      <c r="L1162" s="74"/>
      <c r="M1162" s="74"/>
      <c r="N1162" s="74"/>
      <c r="O1162" s="74"/>
      <c r="P1162" s="74"/>
      <c r="Q1162" s="74"/>
      <c r="R1162" s="74"/>
      <c r="S1162" s="74"/>
      <c r="T1162" s="74"/>
      <c r="U1162" s="74"/>
      <c r="V1162" s="74"/>
      <c r="W1162" s="74"/>
      <c r="X1162" s="74"/>
      <c r="Y1162" s="74"/>
      <c r="Z1162" s="74"/>
      <c r="AA1162" s="74"/>
      <c r="AB1162" s="74"/>
      <c r="AC1162" s="74"/>
      <c r="AD1162" s="74"/>
      <c r="AE1162" s="74"/>
      <c r="AF1162" s="74"/>
      <c r="AG1162" s="74"/>
      <c r="AH1162" s="74"/>
      <c r="AI1162" s="74"/>
      <c r="AJ1162" s="74"/>
      <c r="AK1162" s="74"/>
      <c r="AL1162" s="38"/>
      <c r="AM1162" s="38"/>
      <c r="AN1162" s="75"/>
      <c r="AO1162" s="75"/>
      <c r="AP1162" s="38"/>
      <c r="AQ1162" s="38"/>
      <c r="AR1162" s="38"/>
      <c r="AS1162" s="38"/>
      <c r="AT1162" s="38"/>
      <c r="AU1162" s="38"/>
      <c r="AV1162" s="38"/>
      <c r="AW1162" s="38"/>
      <c r="AX1162" s="38"/>
      <c r="AY1162" s="38"/>
      <c r="AZ1162" s="38"/>
      <c r="BA1162" s="38"/>
      <c r="BB1162" s="38"/>
      <c r="BC1162" s="38"/>
      <c r="BD1162" s="38"/>
      <c r="BE1162" s="38"/>
      <c r="BF1162" s="38"/>
      <c r="BG1162" s="38"/>
      <c r="BH1162" s="38"/>
      <c r="BI1162" s="38"/>
      <c r="BJ1162" s="38"/>
      <c r="BK1162" s="38"/>
      <c r="BL1162" s="38"/>
      <c r="BM1162" s="38"/>
      <c r="BN1162" s="38"/>
      <c r="BO1162" s="38"/>
      <c r="BP1162" s="38"/>
      <c r="BQ1162" s="38"/>
      <c r="BR1162" s="38"/>
      <c r="BS1162" s="38"/>
      <c r="BT1162" s="38"/>
      <c r="BU1162" s="38"/>
      <c r="BV1162" s="38"/>
    </row>
    <row r="1163" ht="14.25" customHeight="1">
      <c r="A1163" s="74"/>
      <c r="B1163" s="38"/>
      <c r="C1163" s="38"/>
      <c r="D1163" s="38"/>
      <c r="E1163" s="74"/>
      <c r="F1163" s="74"/>
      <c r="G1163" s="74"/>
      <c r="H1163" s="74"/>
      <c r="I1163" s="74"/>
      <c r="J1163" s="74"/>
      <c r="K1163" s="74"/>
      <c r="L1163" s="74"/>
      <c r="M1163" s="74"/>
      <c r="N1163" s="74"/>
      <c r="O1163" s="74"/>
      <c r="P1163" s="74"/>
      <c r="Q1163" s="74"/>
      <c r="R1163" s="74"/>
      <c r="S1163" s="74"/>
      <c r="T1163" s="74"/>
      <c r="U1163" s="74"/>
      <c r="V1163" s="74"/>
      <c r="W1163" s="74"/>
      <c r="X1163" s="74"/>
      <c r="Y1163" s="74"/>
      <c r="Z1163" s="74"/>
      <c r="AA1163" s="74"/>
      <c r="AB1163" s="74"/>
      <c r="AC1163" s="74"/>
      <c r="AD1163" s="74"/>
      <c r="AE1163" s="74"/>
      <c r="AF1163" s="74"/>
      <c r="AG1163" s="74"/>
      <c r="AH1163" s="74"/>
      <c r="AI1163" s="74"/>
      <c r="AJ1163" s="74"/>
      <c r="AK1163" s="74"/>
      <c r="AL1163" s="38"/>
      <c r="AM1163" s="38"/>
      <c r="AN1163" s="75"/>
      <c r="AO1163" s="75"/>
      <c r="AP1163" s="38"/>
      <c r="AQ1163" s="38"/>
      <c r="AR1163" s="38"/>
      <c r="AS1163" s="38"/>
      <c r="AT1163" s="38"/>
      <c r="AU1163" s="38"/>
      <c r="AV1163" s="38"/>
      <c r="AW1163" s="38"/>
      <c r="AX1163" s="38"/>
      <c r="AY1163" s="38"/>
      <c r="AZ1163" s="38"/>
      <c r="BA1163" s="38"/>
      <c r="BB1163" s="38"/>
      <c r="BC1163" s="38"/>
      <c r="BD1163" s="38"/>
      <c r="BE1163" s="38"/>
      <c r="BF1163" s="38"/>
      <c r="BG1163" s="38"/>
      <c r="BH1163" s="38"/>
      <c r="BI1163" s="38"/>
      <c r="BJ1163" s="38"/>
      <c r="BK1163" s="38"/>
      <c r="BL1163" s="38"/>
      <c r="BM1163" s="38"/>
      <c r="BN1163" s="38"/>
      <c r="BO1163" s="38"/>
      <c r="BP1163" s="38"/>
      <c r="BQ1163" s="38"/>
      <c r="BR1163" s="38"/>
      <c r="BS1163" s="38"/>
      <c r="BT1163" s="38"/>
      <c r="BU1163" s="38"/>
      <c r="BV1163" s="38"/>
    </row>
    <row r="1164" ht="14.25" customHeight="1">
      <c r="A1164" s="74"/>
      <c r="B1164" s="38"/>
      <c r="C1164" s="38"/>
      <c r="D1164" s="38"/>
      <c r="E1164" s="74"/>
      <c r="F1164" s="74"/>
      <c r="G1164" s="74"/>
      <c r="H1164" s="74"/>
      <c r="I1164" s="74"/>
      <c r="J1164" s="74"/>
      <c r="K1164" s="74"/>
      <c r="L1164" s="74"/>
      <c r="M1164" s="74"/>
      <c r="N1164" s="74"/>
      <c r="O1164" s="74"/>
      <c r="P1164" s="74"/>
      <c r="Q1164" s="74"/>
      <c r="R1164" s="74"/>
      <c r="S1164" s="74"/>
      <c r="T1164" s="74"/>
      <c r="U1164" s="74"/>
      <c r="V1164" s="74"/>
      <c r="W1164" s="74"/>
      <c r="X1164" s="74"/>
      <c r="Y1164" s="74"/>
      <c r="Z1164" s="74"/>
      <c r="AA1164" s="74"/>
      <c r="AB1164" s="74"/>
      <c r="AC1164" s="74"/>
      <c r="AD1164" s="74"/>
      <c r="AE1164" s="74"/>
      <c r="AF1164" s="74"/>
      <c r="AG1164" s="74"/>
      <c r="AH1164" s="74"/>
      <c r="AI1164" s="74"/>
      <c r="AJ1164" s="74"/>
      <c r="AK1164" s="74"/>
      <c r="AL1164" s="38"/>
      <c r="AM1164" s="38"/>
      <c r="AN1164" s="75"/>
      <c r="AO1164" s="75"/>
      <c r="AP1164" s="38"/>
      <c r="AQ1164" s="38"/>
      <c r="AR1164" s="38"/>
      <c r="AS1164" s="38"/>
      <c r="AT1164" s="38"/>
      <c r="AU1164" s="38"/>
      <c r="AV1164" s="38"/>
      <c r="AW1164" s="38"/>
      <c r="AX1164" s="38"/>
      <c r="AY1164" s="38"/>
      <c r="AZ1164" s="38"/>
      <c r="BA1164" s="38"/>
      <c r="BB1164" s="38"/>
      <c r="BC1164" s="38"/>
      <c r="BD1164" s="38"/>
      <c r="BE1164" s="38"/>
      <c r="BF1164" s="38"/>
      <c r="BG1164" s="38"/>
      <c r="BH1164" s="38"/>
      <c r="BI1164" s="38"/>
      <c r="BJ1164" s="38"/>
      <c r="BK1164" s="38"/>
      <c r="BL1164" s="38"/>
      <c r="BM1164" s="38"/>
      <c r="BN1164" s="38"/>
      <c r="BO1164" s="38"/>
      <c r="BP1164" s="38"/>
      <c r="BQ1164" s="38"/>
      <c r="BR1164" s="38"/>
      <c r="BS1164" s="38"/>
      <c r="BT1164" s="38"/>
      <c r="BU1164" s="38"/>
      <c r="BV1164" s="38"/>
    </row>
    <row r="1165" ht="14.25" customHeight="1">
      <c r="A1165" s="74"/>
      <c r="B1165" s="38"/>
      <c r="C1165" s="38"/>
      <c r="D1165" s="38"/>
      <c r="E1165" s="74"/>
      <c r="F1165" s="74"/>
      <c r="G1165" s="74"/>
      <c r="H1165" s="74"/>
      <c r="I1165" s="74"/>
      <c r="J1165" s="74"/>
      <c r="K1165" s="74"/>
      <c r="L1165" s="74"/>
      <c r="M1165" s="74"/>
      <c r="N1165" s="74"/>
      <c r="O1165" s="74"/>
      <c r="P1165" s="74"/>
      <c r="Q1165" s="74"/>
      <c r="R1165" s="74"/>
      <c r="S1165" s="74"/>
      <c r="T1165" s="74"/>
      <c r="U1165" s="74"/>
      <c r="V1165" s="74"/>
      <c r="W1165" s="74"/>
      <c r="X1165" s="74"/>
      <c r="Y1165" s="74"/>
      <c r="Z1165" s="74"/>
      <c r="AA1165" s="74"/>
      <c r="AB1165" s="74"/>
      <c r="AC1165" s="74"/>
      <c r="AD1165" s="74"/>
      <c r="AE1165" s="74"/>
      <c r="AF1165" s="74"/>
      <c r="AG1165" s="74"/>
      <c r="AH1165" s="74"/>
      <c r="AI1165" s="74"/>
      <c r="AJ1165" s="74"/>
      <c r="AK1165" s="74"/>
      <c r="AL1165" s="38"/>
      <c r="AM1165" s="38"/>
      <c r="AN1165" s="75"/>
      <c r="AO1165" s="75"/>
      <c r="AP1165" s="38"/>
      <c r="AQ1165" s="38"/>
      <c r="AR1165" s="38"/>
      <c r="AS1165" s="38"/>
      <c r="AT1165" s="38"/>
      <c r="AU1165" s="38"/>
      <c r="AV1165" s="38"/>
      <c r="AW1165" s="38"/>
      <c r="AX1165" s="38"/>
      <c r="AY1165" s="38"/>
      <c r="AZ1165" s="38"/>
      <c r="BA1165" s="38"/>
      <c r="BB1165" s="38"/>
      <c r="BC1165" s="38"/>
      <c r="BD1165" s="38"/>
      <c r="BE1165" s="38"/>
      <c r="BF1165" s="38"/>
      <c r="BG1165" s="38"/>
      <c r="BH1165" s="38"/>
      <c r="BI1165" s="38"/>
      <c r="BJ1165" s="38"/>
      <c r="BK1165" s="38"/>
      <c r="BL1165" s="38"/>
      <c r="BM1165" s="38"/>
      <c r="BN1165" s="38"/>
      <c r="BO1165" s="38"/>
      <c r="BP1165" s="38"/>
      <c r="BQ1165" s="38"/>
      <c r="BR1165" s="38"/>
      <c r="BS1165" s="38"/>
      <c r="BT1165" s="38"/>
      <c r="BU1165" s="38"/>
      <c r="BV1165" s="38"/>
    </row>
    <row r="1166" ht="14.25" customHeight="1">
      <c r="A1166" s="74"/>
      <c r="B1166" s="38"/>
      <c r="C1166" s="38"/>
      <c r="D1166" s="38"/>
      <c r="E1166" s="74"/>
      <c r="F1166" s="74"/>
      <c r="G1166" s="74"/>
      <c r="H1166" s="74"/>
      <c r="I1166" s="74"/>
      <c r="J1166" s="74"/>
      <c r="K1166" s="74"/>
      <c r="L1166" s="74"/>
      <c r="M1166" s="74"/>
      <c r="N1166" s="74"/>
      <c r="O1166" s="74"/>
      <c r="P1166" s="74"/>
      <c r="Q1166" s="74"/>
      <c r="R1166" s="74"/>
      <c r="S1166" s="74"/>
      <c r="T1166" s="74"/>
      <c r="U1166" s="74"/>
      <c r="V1166" s="74"/>
      <c r="W1166" s="74"/>
      <c r="X1166" s="74"/>
      <c r="Y1166" s="74"/>
      <c r="Z1166" s="74"/>
      <c r="AA1166" s="74"/>
      <c r="AB1166" s="74"/>
      <c r="AC1166" s="74"/>
      <c r="AD1166" s="74"/>
      <c r="AE1166" s="74"/>
      <c r="AF1166" s="74"/>
      <c r="AG1166" s="74"/>
      <c r="AH1166" s="74"/>
      <c r="AI1166" s="74"/>
      <c r="AJ1166" s="74"/>
      <c r="AK1166" s="74"/>
      <c r="AL1166" s="38"/>
      <c r="AM1166" s="38"/>
      <c r="AN1166" s="75"/>
      <c r="AO1166" s="75"/>
      <c r="AP1166" s="38"/>
      <c r="AQ1166" s="38"/>
      <c r="AR1166" s="38"/>
      <c r="AS1166" s="38"/>
      <c r="AT1166" s="38"/>
      <c r="AU1166" s="38"/>
      <c r="AV1166" s="38"/>
      <c r="AW1166" s="38"/>
      <c r="AX1166" s="38"/>
      <c r="AY1166" s="38"/>
      <c r="AZ1166" s="38"/>
      <c r="BA1166" s="38"/>
      <c r="BB1166" s="38"/>
      <c r="BC1166" s="38"/>
      <c r="BD1166" s="38"/>
      <c r="BE1166" s="38"/>
      <c r="BF1166" s="38"/>
      <c r="BG1166" s="38"/>
      <c r="BH1166" s="38"/>
      <c r="BI1166" s="38"/>
      <c r="BJ1166" s="38"/>
      <c r="BK1166" s="38"/>
      <c r="BL1166" s="38"/>
      <c r="BM1166" s="38"/>
      <c r="BN1166" s="38"/>
      <c r="BO1166" s="38"/>
      <c r="BP1166" s="38"/>
      <c r="BQ1166" s="38"/>
      <c r="BR1166" s="38"/>
      <c r="BS1166" s="38"/>
      <c r="BT1166" s="38"/>
      <c r="BU1166" s="38"/>
      <c r="BV1166" s="38"/>
    </row>
    <row r="1167" ht="14.25" customHeight="1">
      <c r="A1167" s="74"/>
      <c r="B1167" s="38"/>
      <c r="C1167" s="38"/>
      <c r="D1167" s="38"/>
      <c r="E1167" s="74"/>
      <c r="F1167" s="74"/>
      <c r="G1167" s="74"/>
      <c r="H1167" s="74"/>
      <c r="I1167" s="74"/>
      <c r="J1167" s="74"/>
      <c r="K1167" s="74"/>
      <c r="L1167" s="74"/>
      <c r="M1167" s="74"/>
      <c r="N1167" s="74"/>
      <c r="O1167" s="74"/>
      <c r="P1167" s="74"/>
      <c r="Q1167" s="74"/>
      <c r="R1167" s="74"/>
      <c r="S1167" s="74"/>
      <c r="T1167" s="74"/>
      <c r="U1167" s="74"/>
      <c r="V1167" s="74"/>
      <c r="W1167" s="74"/>
      <c r="X1167" s="74"/>
      <c r="Y1167" s="74"/>
      <c r="Z1167" s="74"/>
      <c r="AA1167" s="74"/>
      <c r="AB1167" s="74"/>
      <c r="AC1167" s="74"/>
      <c r="AD1167" s="74"/>
      <c r="AE1167" s="74"/>
      <c r="AF1167" s="74"/>
      <c r="AG1167" s="74"/>
      <c r="AH1167" s="74"/>
      <c r="AI1167" s="74"/>
      <c r="AJ1167" s="74"/>
      <c r="AK1167" s="74"/>
      <c r="AL1167" s="38"/>
      <c r="AM1167" s="38"/>
      <c r="AN1167" s="75"/>
      <c r="AO1167" s="75"/>
      <c r="AP1167" s="38"/>
      <c r="AQ1167" s="38"/>
      <c r="AR1167" s="38"/>
      <c r="AS1167" s="38"/>
      <c r="AT1167" s="38"/>
      <c r="AU1167" s="38"/>
      <c r="AV1167" s="38"/>
      <c r="AW1167" s="38"/>
      <c r="AX1167" s="38"/>
      <c r="AY1167" s="38"/>
      <c r="AZ1167" s="38"/>
      <c r="BA1167" s="38"/>
      <c r="BB1167" s="38"/>
      <c r="BC1167" s="38"/>
      <c r="BD1167" s="38"/>
      <c r="BE1167" s="38"/>
      <c r="BF1167" s="38"/>
      <c r="BG1167" s="38"/>
      <c r="BH1167" s="38"/>
      <c r="BI1167" s="38"/>
      <c r="BJ1167" s="38"/>
      <c r="BK1167" s="38"/>
      <c r="BL1167" s="38"/>
      <c r="BM1167" s="38"/>
      <c r="BN1167" s="38"/>
      <c r="BO1167" s="38"/>
      <c r="BP1167" s="38"/>
      <c r="BQ1167" s="38"/>
      <c r="BR1167" s="38"/>
      <c r="BS1167" s="38"/>
      <c r="BT1167" s="38"/>
      <c r="BU1167" s="38"/>
      <c r="BV1167" s="38"/>
    </row>
    <row r="1168" ht="14.25" customHeight="1">
      <c r="A1168" s="74"/>
      <c r="B1168" s="38"/>
      <c r="C1168" s="38"/>
      <c r="D1168" s="38"/>
      <c r="E1168" s="74"/>
      <c r="F1168" s="74"/>
      <c r="G1168" s="74"/>
      <c r="H1168" s="74"/>
      <c r="I1168" s="74"/>
      <c r="J1168" s="74"/>
      <c r="K1168" s="74"/>
      <c r="L1168" s="74"/>
      <c r="M1168" s="74"/>
      <c r="N1168" s="74"/>
      <c r="O1168" s="74"/>
      <c r="P1168" s="74"/>
      <c r="Q1168" s="74"/>
      <c r="R1168" s="74"/>
      <c r="S1168" s="74"/>
      <c r="T1168" s="74"/>
      <c r="U1168" s="74"/>
      <c r="V1168" s="74"/>
      <c r="W1168" s="74"/>
      <c r="X1168" s="74"/>
      <c r="Y1168" s="74"/>
      <c r="Z1168" s="74"/>
      <c r="AA1168" s="74"/>
      <c r="AB1168" s="74"/>
      <c r="AC1168" s="74"/>
      <c r="AD1168" s="74"/>
      <c r="AE1168" s="74"/>
      <c r="AF1168" s="74"/>
      <c r="AG1168" s="74"/>
      <c r="AH1168" s="74"/>
      <c r="AI1168" s="74"/>
      <c r="AJ1168" s="74"/>
      <c r="AK1168" s="74"/>
      <c r="AL1168" s="38"/>
      <c r="AM1168" s="38"/>
      <c r="AN1168" s="75"/>
      <c r="AO1168" s="75"/>
      <c r="AP1168" s="38"/>
      <c r="AQ1168" s="38"/>
      <c r="AR1168" s="38"/>
      <c r="AS1168" s="38"/>
      <c r="AT1168" s="38"/>
      <c r="AU1168" s="38"/>
      <c r="AV1168" s="38"/>
      <c r="AW1168" s="38"/>
      <c r="AX1168" s="38"/>
      <c r="AY1168" s="38"/>
      <c r="AZ1168" s="38"/>
      <c r="BA1168" s="38"/>
      <c r="BB1168" s="38"/>
      <c r="BC1168" s="38"/>
      <c r="BD1168" s="38"/>
      <c r="BE1168" s="38"/>
      <c r="BF1168" s="38"/>
      <c r="BG1168" s="38"/>
      <c r="BH1168" s="38"/>
      <c r="BI1168" s="38"/>
      <c r="BJ1168" s="38"/>
      <c r="BK1168" s="38"/>
      <c r="BL1168" s="38"/>
      <c r="BM1168" s="38"/>
      <c r="BN1168" s="38"/>
      <c r="BO1168" s="38"/>
      <c r="BP1168" s="38"/>
      <c r="BQ1168" s="38"/>
      <c r="BR1168" s="38"/>
      <c r="BS1168" s="38"/>
      <c r="BT1168" s="38"/>
      <c r="BU1168" s="38"/>
      <c r="BV1168" s="38"/>
    </row>
    <row r="1169" ht="14.25" customHeight="1">
      <c r="A1169" s="74"/>
      <c r="B1169" s="38"/>
      <c r="C1169" s="38"/>
      <c r="D1169" s="38"/>
      <c r="E1169" s="74"/>
      <c r="F1169" s="74"/>
      <c r="G1169" s="74"/>
      <c r="H1169" s="74"/>
      <c r="I1169" s="74"/>
      <c r="J1169" s="74"/>
      <c r="K1169" s="74"/>
      <c r="L1169" s="74"/>
      <c r="M1169" s="74"/>
      <c r="N1169" s="74"/>
      <c r="O1169" s="74"/>
      <c r="P1169" s="74"/>
      <c r="Q1169" s="74"/>
      <c r="R1169" s="74"/>
      <c r="S1169" s="74"/>
      <c r="T1169" s="74"/>
      <c r="U1169" s="74"/>
      <c r="V1169" s="74"/>
      <c r="W1169" s="74"/>
      <c r="X1169" s="74"/>
      <c r="Y1169" s="74"/>
      <c r="Z1169" s="74"/>
      <c r="AA1169" s="74"/>
      <c r="AB1169" s="74"/>
      <c r="AC1169" s="74"/>
      <c r="AD1169" s="74"/>
      <c r="AE1169" s="74"/>
      <c r="AF1169" s="74"/>
      <c r="AG1169" s="74"/>
      <c r="AH1169" s="74"/>
      <c r="AI1169" s="74"/>
      <c r="AJ1169" s="74"/>
      <c r="AK1169" s="74"/>
      <c r="AL1169" s="38"/>
      <c r="AM1169" s="38"/>
      <c r="AN1169" s="75"/>
      <c r="AO1169" s="75"/>
      <c r="AP1169" s="38"/>
      <c r="AQ1169" s="38"/>
      <c r="AR1169" s="38"/>
      <c r="AS1169" s="38"/>
      <c r="AT1169" s="38"/>
      <c r="AU1169" s="38"/>
      <c r="AV1169" s="38"/>
      <c r="AW1169" s="38"/>
      <c r="AX1169" s="38"/>
      <c r="AY1169" s="38"/>
      <c r="AZ1169" s="38"/>
      <c r="BA1169" s="38"/>
      <c r="BB1169" s="38"/>
      <c r="BC1169" s="38"/>
      <c r="BD1169" s="38"/>
      <c r="BE1169" s="38"/>
      <c r="BF1169" s="38"/>
      <c r="BG1169" s="38"/>
      <c r="BH1169" s="38"/>
      <c r="BI1169" s="38"/>
      <c r="BJ1169" s="38"/>
      <c r="BK1169" s="38"/>
      <c r="BL1169" s="38"/>
      <c r="BM1169" s="38"/>
      <c r="BN1169" s="38"/>
      <c r="BO1169" s="38"/>
      <c r="BP1169" s="38"/>
      <c r="BQ1169" s="38"/>
      <c r="BR1169" s="38"/>
      <c r="BS1169" s="38"/>
      <c r="BT1169" s="38"/>
      <c r="BU1169" s="38"/>
      <c r="BV1169" s="38"/>
    </row>
    <row r="1170" ht="14.25" customHeight="1">
      <c r="A1170" s="74"/>
      <c r="B1170" s="38"/>
      <c r="C1170" s="38"/>
      <c r="D1170" s="38"/>
      <c r="E1170" s="74"/>
      <c r="F1170" s="74"/>
      <c r="G1170" s="74"/>
      <c r="H1170" s="74"/>
      <c r="I1170" s="74"/>
      <c r="J1170" s="74"/>
      <c r="K1170" s="74"/>
      <c r="L1170" s="74"/>
      <c r="M1170" s="74"/>
      <c r="N1170" s="74"/>
      <c r="O1170" s="74"/>
      <c r="P1170" s="74"/>
      <c r="Q1170" s="74"/>
      <c r="R1170" s="74"/>
      <c r="S1170" s="74"/>
      <c r="T1170" s="74"/>
      <c r="U1170" s="74"/>
      <c r="V1170" s="74"/>
      <c r="W1170" s="74"/>
      <c r="X1170" s="74"/>
      <c r="Y1170" s="74"/>
      <c r="Z1170" s="74"/>
      <c r="AA1170" s="74"/>
      <c r="AB1170" s="74"/>
      <c r="AC1170" s="74"/>
      <c r="AD1170" s="74"/>
      <c r="AE1170" s="74"/>
      <c r="AF1170" s="74"/>
      <c r="AG1170" s="74"/>
      <c r="AH1170" s="74"/>
      <c r="AI1170" s="74"/>
      <c r="AJ1170" s="74"/>
      <c r="AK1170" s="74"/>
      <c r="AL1170" s="38"/>
      <c r="AM1170" s="38"/>
      <c r="AN1170" s="75"/>
      <c r="AO1170" s="75"/>
      <c r="AP1170" s="38"/>
      <c r="AQ1170" s="38"/>
      <c r="AR1170" s="38"/>
      <c r="AS1170" s="38"/>
      <c r="AT1170" s="38"/>
      <c r="AU1170" s="38"/>
      <c r="AV1170" s="38"/>
      <c r="AW1170" s="38"/>
      <c r="AX1170" s="38"/>
      <c r="AY1170" s="38"/>
      <c r="AZ1170" s="38"/>
      <c r="BA1170" s="38"/>
      <c r="BB1170" s="38"/>
      <c r="BC1170" s="38"/>
      <c r="BD1170" s="38"/>
      <c r="BE1170" s="38"/>
      <c r="BF1170" s="38"/>
      <c r="BG1170" s="38"/>
      <c r="BH1170" s="38"/>
      <c r="BI1170" s="38"/>
      <c r="BJ1170" s="38"/>
      <c r="BK1170" s="38"/>
      <c r="BL1170" s="38"/>
      <c r="BM1170" s="38"/>
      <c r="BN1170" s="38"/>
      <c r="BO1170" s="38"/>
      <c r="BP1170" s="38"/>
      <c r="BQ1170" s="38"/>
      <c r="BR1170" s="38"/>
      <c r="BS1170" s="38"/>
      <c r="BT1170" s="38"/>
      <c r="BU1170" s="38"/>
      <c r="BV1170" s="38"/>
    </row>
    <row r="1171" ht="14.25" customHeight="1">
      <c r="A1171" s="74"/>
      <c r="B1171" s="38"/>
      <c r="C1171" s="38"/>
      <c r="D1171" s="38"/>
      <c r="E1171" s="74"/>
      <c r="F1171" s="74"/>
      <c r="G1171" s="74"/>
      <c r="H1171" s="74"/>
      <c r="I1171" s="74"/>
      <c r="J1171" s="74"/>
      <c r="K1171" s="74"/>
      <c r="L1171" s="74"/>
      <c r="M1171" s="74"/>
      <c r="N1171" s="74"/>
      <c r="O1171" s="74"/>
      <c r="P1171" s="74"/>
      <c r="Q1171" s="74"/>
      <c r="R1171" s="74"/>
      <c r="S1171" s="74"/>
      <c r="T1171" s="74"/>
      <c r="U1171" s="74"/>
      <c r="V1171" s="74"/>
      <c r="W1171" s="74"/>
      <c r="X1171" s="74"/>
      <c r="Y1171" s="74"/>
      <c r="Z1171" s="74"/>
      <c r="AA1171" s="74"/>
      <c r="AB1171" s="74"/>
      <c r="AC1171" s="74"/>
      <c r="AD1171" s="74"/>
      <c r="AE1171" s="74"/>
      <c r="AF1171" s="74"/>
      <c r="AG1171" s="74"/>
      <c r="AH1171" s="74"/>
      <c r="AI1171" s="74"/>
      <c r="AJ1171" s="74"/>
      <c r="AK1171" s="74"/>
      <c r="AL1171" s="38"/>
      <c r="AM1171" s="38"/>
      <c r="AN1171" s="75"/>
      <c r="AO1171" s="75"/>
      <c r="AP1171" s="38"/>
      <c r="AQ1171" s="38"/>
      <c r="AR1171" s="38"/>
      <c r="AS1171" s="38"/>
      <c r="AT1171" s="38"/>
      <c r="AU1171" s="38"/>
      <c r="AV1171" s="38"/>
      <c r="AW1171" s="38"/>
      <c r="AX1171" s="38"/>
      <c r="AY1171" s="38"/>
      <c r="AZ1171" s="38"/>
      <c r="BA1171" s="38"/>
      <c r="BB1171" s="38"/>
      <c r="BC1171" s="38"/>
      <c r="BD1171" s="38"/>
      <c r="BE1171" s="38"/>
      <c r="BF1171" s="38"/>
      <c r="BG1171" s="38"/>
      <c r="BH1171" s="38"/>
      <c r="BI1171" s="38"/>
      <c r="BJ1171" s="38"/>
      <c r="BK1171" s="38"/>
      <c r="BL1171" s="38"/>
      <c r="BM1171" s="38"/>
      <c r="BN1171" s="38"/>
      <c r="BO1171" s="38"/>
      <c r="BP1171" s="38"/>
      <c r="BQ1171" s="38"/>
      <c r="BR1171" s="38"/>
      <c r="BS1171" s="38"/>
      <c r="BT1171" s="38"/>
      <c r="BU1171" s="38"/>
      <c r="BV1171" s="38"/>
    </row>
    <row r="1172" ht="14.25" customHeight="1">
      <c r="A1172" s="74"/>
      <c r="B1172" s="38"/>
      <c r="C1172" s="38"/>
      <c r="D1172" s="38"/>
      <c r="E1172" s="74"/>
      <c r="F1172" s="74"/>
      <c r="G1172" s="74"/>
      <c r="H1172" s="74"/>
      <c r="I1172" s="74"/>
      <c r="J1172" s="74"/>
      <c r="K1172" s="74"/>
      <c r="L1172" s="74"/>
      <c r="M1172" s="74"/>
      <c r="N1172" s="74"/>
      <c r="O1172" s="74"/>
      <c r="P1172" s="74"/>
      <c r="Q1172" s="74"/>
      <c r="R1172" s="74"/>
      <c r="S1172" s="74"/>
      <c r="T1172" s="74"/>
      <c r="U1172" s="74"/>
      <c r="V1172" s="74"/>
      <c r="W1172" s="74"/>
      <c r="X1172" s="74"/>
      <c r="Y1172" s="74"/>
      <c r="Z1172" s="74"/>
      <c r="AA1172" s="74"/>
      <c r="AB1172" s="74"/>
      <c r="AC1172" s="74"/>
      <c r="AD1172" s="74"/>
      <c r="AE1172" s="74"/>
      <c r="AF1172" s="74"/>
      <c r="AG1172" s="74"/>
      <c r="AH1172" s="74"/>
      <c r="AI1172" s="74"/>
      <c r="AJ1172" s="74"/>
      <c r="AK1172" s="74"/>
      <c r="AL1172" s="38"/>
      <c r="AM1172" s="38"/>
      <c r="AN1172" s="75"/>
      <c r="AO1172" s="75"/>
      <c r="AP1172" s="38"/>
      <c r="AQ1172" s="38"/>
      <c r="AR1172" s="38"/>
      <c r="AS1172" s="38"/>
      <c r="AT1172" s="38"/>
      <c r="AU1172" s="38"/>
      <c r="AV1172" s="38"/>
      <c r="AW1172" s="38"/>
      <c r="AX1172" s="38"/>
      <c r="AY1172" s="38"/>
      <c r="AZ1172" s="38"/>
      <c r="BA1172" s="38"/>
      <c r="BB1172" s="38"/>
      <c r="BC1172" s="38"/>
      <c r="BD1172" s="38"/>
      <c r="BE1172" s="38"/>
      <c r="BF1172" s="38"/>
      <c r="BG1172" s="38"/>
      <c r="BH1172" s="38"/>
      <c r="BI1172" s="38"/>
      <c r="BJ1172" s="38"/>
      <c r="BK1172" s="38"/>
      <c r="BL1172" s="38"/>
      <c r="BM1172" s="38"/>
      <c r="BN1172" s="38"/>
      <c r="BO1172" s="38"/>
      <c r="BP1172" s="38"/>
      <c r="BQ1172" s="38"/>
      <c r="BR1172" s="38"/>
      <c r="BS1172" s="38"/>
      <c r="BT1172" s="38"/>
      <c r="BU1172" s="38"/>
      <c r="BV1172" s="38"/>
    </row>
    <row r="1173" ht="14.25" customHeight="1">
      <c r="A1173" s="74"/>
      <c r="B1173" s="38"/>
      <c r="C1173" s="38"/>
      <c r="D1173" s="38"/>
      <c r="E1173" s="74"/>
      <c r="F1173" s="74"/>
      <c r="G1173" s="74"/>
      <c r="H1173" s="74"/>
      <c r="I1173" s="74"/>
      <c r="J1173" s="74"/>
      <c r="K1173" s="74"/>
      <c r="L1173" s="74"/>
      <c r="M1173" s="74"/>
      <c r="N1173" s="74"/>
      <c r="O1173" s="74"/>
      <c r="P1173" s="74"/>
      <c r="Q1173" s="74"/>
      <c r="R1173" s="74"/>
      <c r="S1173" s="74"/>
      <c r="T1173" s="74"/>
      <c r="U1173" s="74"/>
      <c r="V1173" s="74"/>
      <c r="W1173" s="74"/>
      <c r="X1173" s="74"/>
      <c r="Y1173" s="74"/>
      <c r="Z1173" s="74"/>
      <c r="AA1173" s="74"/>
      <c r="AB1173" s="74"/>
      <c r="AC1173" s="74"/>
      <c r="AD1173" s="74"/>
      <c r="AE1173" s="74"/>
      <c r="AF1173" s="74"/>
      <c r="AG1173" s="74"/>
      <c r="AH1173" s="74"/>
      <c r="AI1173" s="74"/>
      <c r="AJ1173" s="74"/>
      <c r="AK1173" s="74"/>
      <c r="AL1173" s="38"/>
      <c r="AM1173" s="38"/>
      <c r="AN1173" s="75"/>
      <c r="AO1173" s="75"/>
      <c r="AP1173" s="38"/>
      <c r="AQ1173" s="38"/>
      <c r="AR1173" s="38"/>
      <c r="AS1173" s="38"/>
      <c r="AT1173" s="38"/>
      <c r="AU1173" s="38"/>
      <c r="AV1173" s="38"/>
      <c r="AW1173" s="38"/>
      <c r="AX1173" s="38"/>
      <c r="AY1173" s="38"/>
      <c r="AZ1173" s="38"/>
      <c r="BA1173" s="38"/>
      <c r="BB1173" s="38"/>
      <c r="BC1173" s="38"/>
      <c r="BD1173" s="38"/>
      <c r="BE1173" s="38"/>
      <c r="BF1173" s="38"/>
      <c r="BG1173" s="38"/>
      <c r="BH1173" s="38"/>
      <c r="BI1173" s="38"/>
      <c r="BJ1173" s="38"/>
      <c r="BK1173" s="38"/>
      <c r="BL1173" s="38"/>
      <c r="BM1173" s="38"/>
      <c r="BN1173" s="38"/>
      <c r="BO1173" s="38"/>
      <c r="BP1173" s="38"/>
      <c r="BQ1173" s="38"/>
      <c r="BR1173" s="38"/>
      <c r="BS1173" s="38"/>
      <c r="BT1173" s="38"/>
      <c r="BU1173" s="38"/>
      <c r="BV1173" s="38"/>
    </row>
    <row r="1174" ht="14.25" customHeight="1">
      <c r="A1174" s="74"/>
      <c r="B1174" s="38"/>
      <c r="C1174" s="38"/>
      <c r="D1174" s="38"/>
      <c r="E1174" s="74"/>
      <c r="F1174" s="74"/>
      <c r="G1174" s="74"/>
      <c r="H1174" s="74"/>
      <c r="I1174" s="74"/>
      <c r="J1174" s="74"/>
      <c r="K1174" s="74"/>
      <c r="L1174" s="74"/>
      <c r="M1174" s="74"/>
      <c r="N1174" s="74"/>
      <c r="O1174" s="74"/>
      <c r="P1174" s="74"/>
      <c r="Q1174" s="74"/>
      <c r="R1174" s="74"/>
      <c r="S1174" s="74"/>
      <c r="T1174" s="74"/>
      <c r="U1174" s="74"/>
      <c r="V1174" s="74"/>
      <c r="W1174" s="74"/>
      <c r="X1174" s="74"/>
      <c r="Y1174" s="74"/>
      <c r="Z1174" s="74"/>
      <c r="AA1174" s="74"/>
      <c r="AB1174" s="74"/>
      <c r="AC1174" s="74"/>
      <c r="AD1174" s="74"/>
      <c r="AE1174" s="74"/>
      <c r="AF1174" s="74"/>
      <c r="AG1174" s="74"/>
      <c r="AH1174" s="74"/>
      <c r="AI1174" s="74"/>
      <c r="AJ1174" s="74"/>
      <c r="AK1174" s="74"/>
      <c r="AL1174" s="38"/>
      <c r="AM1174" s="38"/>
      <c r="AN1174" s="75"/>
      <c r="AO1174" s="75"/>
      <c r="AP1174" s="38"/>
      <c r="AQ1174" s="38"/>
      <c r="AR1174" s="38"/>
      <c r="AS1174" s="38"/>
      <c r="AT1174" s="38"/>
      <c r="AU1174" s="38"/>
      <c r="AV1174" s="38"/>
      <c r="AW1174" s="38"/>
      <c r="AX1174" s="38"/>
      <c r="AY1174" s="38"/>
      <c r="AZ1174" s="38"/>
      <c r="BA1174" s="38"/>
      <c r="BB1174" s="38"/>
      <c r="BC1174" s="38"/>
      <c r="BD1174" s="38"/>
      <c r="BE1174" s="38"/>
      <c r="BF1174" s="38"/>
      <c r="BG1174" s="38"/>
      <c r="BH1174" s="38"/>
      <c r="BI1174" s="38"/>
      <c r="BJ1174" s="38"/>
      <c r="BK1174" s="38"/>
      <c r="BL1174" s="38"/>
      <c r="BM1174" s="38"/>
      <c r="BN1174" s="38"/>
      <c r="BO1174" s="38"/>
      <c r="BP1174" s="38"/>
      <c r="BQ1174" s="38"/>
      <c r="BR1174" s="38"/>
      <c r="BS1174" s="38"/>
      <c r="BT1174" s="38"/>
      <c r="BU1174" s="38"/>
      <c r="BV1174" s="38"/>
    </row>
    <row r="1175" ht="14.25" customHeight="1">
      <c r="A1175" s="74"/>
      <c r="B1175" s="38"/>
      <c r="C1175" s="38"/>
      <c r="D1175" s="38"/>
      <c r="E1175" s="74"/>
      <c r="F1175" s="74"/>
      <c r="G1175" s="74"/>
      <c r="H1175" s="74"/>
      <c r="I1175" s="74"/>
      <c r="J1175" s="74"/>
      <c r="K1175" s="74"/>
      <c r="L1175" s="74"/>
      <c r="M1175" s="74"/>
      <c r="N1175" s="74"/>
      <c r="O1175" s="74"/>
      <c r="P1175" s="74"/>
      <c r="Q1175" s="74"/>
      <c r="R1175" s="74"/>
      <c r="S1175" s="74"/>
      <c r="T1175" s="74"/>
      <c r="U1175" s="74"/>
      <c r="V1175" s="74"/>
      <c r="W1175" s="74"/>
      <c r="X1175" s="74"/>
      <c r="Y1175" s="74"/>
      <c r="Z1175" s="74"/>
      <c r="AA1175" s="74"/>
      <c r="AB1175" s="74"/>
      <c r="AC1175" s="74"/>
      <c r="AD1175" s="74"/>
      <c r="AE1175" s="74"/>
      <c r="AF1175" s="74"/>
      <c r="AG1175" s="74"/>
      <c r="AH1175" s="74"/>
      <c r="AI1175" s="74"/>
      <c r="AJ1175" s="74"/>
      <c r="AK1175" s="74"/>
      <c r="AL1175" s="38"/>
      <c r="AM1175" s="38"/>
      <c r="AN1175" s="75"/>
      <c r="AO1175" s="75"/>
      <c r="AP1175" s="38"/>
      <c r="AQ1175" s="38"/>
      <c r="AR1175" s="38"/>
      <c r="AS1175" s="38"/>
      <c r="AT1175" s="38"/>
      <c r="AU1175" s="38"/>
      <c r="AV1175" s="38"/>
      <c r="AW1175" s="38"/>
      <c r="AX1175" s="38"/>
      <c r="AY1175" s="38"/>
      <c r="AZ1175" s="38"/>
      <c r="BA1175" s="38"/>
      <c r="BB1175" s="38"/>
      <c r="BC1175" s="38"/>
      <c r="BD1175" s="38"/>
      <c r="BE1175" s="38"/>
      <c r="BF1175" s="38"/>
      <c r="BG1175" s="38"/>
      <c r="BH1175" s="38"/>
      <c r="BI1175" s="38"/>
      <c r="BJ1175" s="38"/>
      <c r="BK1175" s="38"/>
      <c r="BL1175" s="38"/>
      <c r="BM1175" s="38"/>
      <c r="BN1175" s="38"/>
      <c r="BO1175" s="38"/>
      <c r="BP1175" s="38"/>
      <c r="BQ1175" s="38"/>
      <c r="BR1175" s="38"/>
      <c r="BS1175" s="38"/>
      <c r="BT1175" s="38"/>
      <c r="BU1175" s="38"/>
      <c r="BV1175" s="38"/>
    </row>
    <row r="1176" ht="14.25" customHeight="1">
      <c r="A1176" s="74"/>
      <c r="B1176" s="38"/>
      <c r="C1176" s="38"/>
      <c r="D1176" s="38"/>
      <c r="E1176" s="74"/>
      <c r="F1176" s="74"/>
      <c r="G1176" s="74"/>
      <c r="H1176" s="74"/>
      <c r="I1176" s="74"/>
      <c r="J1176" s="74"/>
      <c r="K1176" s="74"/>
      <c r="L1176" s="74"/>
      <c r="M1176" s="74"/>
      <c r="N1176" s="74"/>
      <c r="O1176" s="74"/>
      <c r="P1176" s="74"/>
      <c r="Q1176" s="74"/>
      <c r="R1176" s="74"/>
      <c r="S1176" s="74"/>
      <c r="T1176" s="74"/>
      <c r="U1176" s="74"/>
      <c r="V1176" s="74"/>
      <c r="W1176" s="74"/>
      <c r="X1176" s="74"/>
      <c r="Y1176" s="74"/>
      <c r="Z1176" s="74"/>
      <c r="AA1176" s="74"/>
      <c r="AB1176" s="74"/>
      <c r="AC1176" s="74"/>
      <c r="AD1176" s="74"/>
      <c r="AE1176" s="74"/>
      <c r="AF1176" s="74"/>
      <c r="AG1176" s="74"/>
      <c r="AH1176" s="74"/>
      <c r="AI1176" s="74"/>
      <c r="AJ1176" s="74"/>
      <c r="AK1176" s="74"/>
      <c r="AL1176" s="38"/>
      <c r="AM1176" s="38"/>
      <c r="AN1176" s="75"/>
      <c r="AO1176" s="75"/>
      <c r="AP1176" s="38"/>
      <c r="AQ1176" s="38"/>
      <c r="AR1176" s="38"/>
      <c r="AS1176" s="38"/>
      <c r="AT1176" s="38"/>
      <c r="AU1176" s="38"/>
      <c r="AV1176" s="38"/>
      <c r="AW1176" s="38"/>
      <c r="AX1176" s="38"/>
      <c r="AY1176" s="38"/>
      <c r="AZ1176" s="38"/>
      <c r="BA1176" s="38"/>
      <c r="BB1176" s="38"/>
      <c r="BC1176" s="38"/>
      <c r="BD1176" s="38"/>
      <c r="BE1176" s="38"/>
      <c r="BF1176" s="38"/>
      <c r="BG1176" s="38"/>
      <c r="BH1176" s="38"/>
      <c r="BI1176" s="38"/>
      <c r="BJ1176" s="38"/>
      <c r="BK1176" s="38"/>
      <c r="BL1176" s="38"/>
      <c r="BM1176" s="38"/>
      <c r="BN1176" s="38"/>
      <c r="BO1176" s="38"/>
      <c r="BP1176" s="38"/>
      <c r="BQ1176" s="38"/>
      <c r="BR1176" s="38"/>
      <c r="BS1176" s="38"/>
      <c r="BT1176" s="38"/>
      <c r="BU1176" s="38"/>
      <c r="BV1176" s="38"/>
    </row>
    <row r="1177" ht="14.25" customHeight="1">
      <c r="A1177" s="74"/>
      <c r="B1177" s="38"/>
      <c r="C1177" s="38"/>
      <c r="D1177" s="38"/>
      <c r="E1177" s="74"/>
      <c r="F1177" s="74"/>
      <c r="G1177" s="74"/>
      <c r="H1177" s="74"/>
      <c r="I1177" s="74"/>
      <c r="J1177" s="74"/>
      <c r="K1177" s="74"/>
      <c r="L1177" s="74"/>
      <c r="M1177" s="74"/>
      <c r="N1177" s="74"/>
      <c r="O1177" s="74"/>
      <c r="P1177" s="74"/>
      <c r="Q1177" s="74"/>
      <c r="R1177" s="74"/>
      <c r="S1177" s="74"/>
      <c r="T1177" s="74"/>
      <c r="U1177" s="74"/>
      <c r="V1177" s="74"/>
      <c r="W1177" s="74"/>
      <c r="X1177" s="74"/>
      <c r="Y1177" s="74"/>
      <c r="Z1177" s="74"/>
      <c r="AA1177" s="74"/>
      <c r="AB1177" s="74"/>
      <c r="AC1177" s="74"/>
      <c r="AD1177" s="74"/>
      <c r="AE1177" s="74"/>
      <c r="AF1177" s="74"/>
      <c r="AG1177" s="74"/>
      <c r="AH1177" s="74"/>
      <c r="AI1177" s="74"/>
      <c r="AJ1177" s="74"/>
      <c r="AK1177" s="74"/>
      <c r="AL1177" s="38"/>
      <c r="AM1177" s="38"/>
      <c r="AN1177" s="75"/>
      <c r="AO1177" s="75"/>
      <c r="AP1177" s="38"/>
      <c r="AQ1177" s="38"/>
      <c r="AR1177" s="38"/>
      <c r="AS1177" s="38"/>
      <c r="AT1177" s="38"/>
      <c r="AU1177" s="38"/>
      <c r="AV1177" s="38"/>
      <c r="AW1177" s="38"/>
      <c r="AX1177" s="38"/>
      <c r="AY1177" s="38"/>
      <c r="AZ1177" s="38"/>
      <c r="BA1177" s="38"/>
      <c r="BB1177" s="38"/>
      <c r="BC1177" s="38"/>
      <c r="BD1177" s="38"/>
      <c r="BE1177" s="38"/>
      <c r="BF1177" s="38"/>
      <c r="BG1177" s="38"/>
      <c r="BH1177" s="38"/>
      <c r="BI1177" s="38"/>
      <c r="BJ1177" s="38"/>
      <c r="BK1177" s="38"/>
      <c r="BL1177" s="38"/>
      <c r="BM1177" s="38"/>
      <c r="BN1177" s="38"/>
      <c r="BO1177" s="38"/>
      <c r="BP1177" s="38"/>
      <c r="BQ1177" s="38"/>
      <c r="BR1177" s="38"/>
      <c r="BS1177" s="38"/>
      <c r="BT1177" s="38"/>
      <c r="BU1177" s="38"/>
      <c r="BV1177" s="38"/>
    </row>
    <row r="1178" ht="14.25" customHeight="1">
      <c r="A1178" s="74"/>
      <c r="B1178" s="38"/>
      <c r="C1178" s="38"/>
      <c r="D1178" s="38"/>
      <c r="E1178" s="74"/>
      <c r="F1178" s="74"/>
      <c r="G1178" s="74"/>
      <c r="H1178" s="74"/>
      <c r="I1178" s="74"/>
      <c r="J1178" s="74"/>
      <c r="K1178" s="74"/>
      <c r="L1178" s="74"/>
      <c r="M1178" s="74"/>
      <c r="N1178" s="74"/>
      <c r="O1178" s="74"/>
      <c r="P1178" s="74"/>
      <c r="Q1178" s="74"/>
      <c r="R1178" s="74"/>
      <c r="S1178" s="74"/>
      <c r="T1178" s="74"/>
      <c r="U1178" s="74"/>
      <c r="V1178" s="74"/>
      <c r="W1178" s="74"/>
      <c r="X1178" s="74"/>
      <c r="Y1178" s="74"/>
      <c r="Z1178" s="74"/>
      <c r="AA1178" s="74"/>
      <c r="AB1178" s="74"/>
      <c r="AC1178" s="74"/>
      <c r="AD1178" s="74"/>
      <c r="AE1178" s="74"/>
      <c r="AF1178" s="74"/>
      <c r="AG1178" s="74"/>
      <c r="AH1178" s="74"/>
      <c r="AI1178" s="74"/>
      <c r="AJ1178" s="74"/>
      <c r="AK1178" s="74"/>
      <c r="AL1178" s="38"/>
      <c r="AM1178" s="38"/>
      <c r="AN1178" s="75"/>
      <c r="AO1178" s="75"/>
      <c r="AP1178" s="38"/>
      <c r="AQ1178" s="38"/>
      <c r="AR1178" s="38"/>
      <c r="AS1178" s="38"/>
      <c r="AT1178" s="38"/>
      <c r="AU1178" s="38"/>
      <c r="AV1178" s="38"/>
      <c r="AW1178" s="38"/>
      <c r="AX1178" s="38"/>
      <c r="AY1178" s="38"/>
      <c r="AZ1178" s="38"/>
      <c r="BA1178" s="38"/>
      <c r="BB1178" s="38"/>
      <c r="BC1178" s="38"/>
      <c r="BD1178" s="38"/>
      <c r="BE1178" s="38"/>
      <c r="BF1178" s="38"/>
      <c r="BG1178" s="38"/>
      <c r="BH1178" s="38"/>
      <c r="BI1178" s="38"/>
      <c r="BJ1178" s="38"/>
      <c r="BK1178" s="38"/>
      <c r="BL1178" s="38"/>
      <c r="BM1178" s="38"/>
      <c r="BN1178" s="38"/>
      <c r="BO1178" s="38"/>
      <c r="BP1178" s="38"/>
      <c r="BQ1178" s="38"/>
      <c r="BR1178" s="38"/>
      <c r="BS1178" s="38"/>
      <c r="BT1178" s="38"/>
      <c r="BU1178" s="38"/>
      <c r="BV1178" s="38"/>
    </row>
    <row r="1179" ht="14.25" customHeight="1">
      <c r="A1179" s="74"/>
      <c r="B1179" s="38"/>
      <c r="C1179" s="38"/>
      <c r="D1179" s="38"/>
      <c r="E1179" s="74"/>
      <c r="F1179" s="74"/>
      <c r="G1179" s="74"/>
      <c r="H1179" s="74"/>
      <c r="I1179" s="74"/>
      <c r="J1179" s="74"/>
      <c r="K1179" s="74"/>
      <c r="L1179" s="74"/>
      <c r="M1179" s="74"/>
      <c r="N1179" s="74"/>
      <c r="O1179" s="74"/>
      <c r="P1179" s="74"/>
      <c r="Q1179" s="74"/>
      <c r="R1179" s="74"/>
      <c r="S1179" s="74"/>
      <c r="T1179" s="74"/>
      <c r="U1179" s="74"/>
      <c r="V1179" s="74"/>
      <c r="W1179" s="74"/>
      <c r="X1179" s="74"/>
      <c r="Y1179" s="74"/>
      <c r="Z1179" s="74"/>
      <c r="AA1179" s="74"/>
      <c r="AB1179" s="74"/>
      <c r="AC1179" s="74"/>
      <c r="AD1179" s="74"/>
      <c r="AE1179" s="74"/>
      <c r="AF1179" s="74"/>
      <c r="AG1179" s="74"/>
      <c r="AH1179" s="74"/>
      <c r="AI1179" s="74"/>
      <c r="AJ1179" s="74"/>
      <c r="AK1179" s="74"/>
      <c r="AL1179" s="38"/>
      <c r="AM1179" s="38"/>
      <c r="AN1179" s="75"/>
      <c r="AO1179" s="75"/>
      <c r="AP1179" s="38"/>
      <c r="AQ1179" s="38"/>
      <c r="AR1179" s="38"/>
      <c r="AS1179" s="38"/>
      <c r="AT1179" s="38"/>
      <c r="AU1179" s="38"/>
      <c r="AV1179" s="38"/>
      <c r="AW1179" s="38"/>
      <c r="AX1179" s="38"/>
      <c r="AY1179" s="38"/>
      <c r="AZ1179" s="38"/>
      <c r="BA1179" s="38"/>
      <c r="BB1179" s="38"/>
      <c r="BC1179" s="38"/>
      <c r="BD1179" s="38"/>
      <c r="BE1179" s="38"/>
      <c r="BF1179" s="38"/>
      <c r="BG1179" s="38"/>
      <c r="BH1179" s="38"/>
      <c r="BI1179" s="38"/>
      <c r="BJ1179" s="38"/>
      <c r="BK1179" s="38"/>
      <c r="BL1179" s="38"/>
      <c r="BM1179" s="38"/>
      <c r="BN1179" s="38"/>
      <c r="BO1179" s="38"/>
      <c r="BP1179" s="38"/>
      <c r="BQ1179" s="38"/>
      <c r="BR1179" s="38"/>
      <c r="BS1179" s="38"/>
      <c r="BT1179" s="38"/>
      <c r="BU1179" s="38"/>
      <c r="BV1179" s="38"/>
    </row>
    <row r="1180" ht="14.25" customHeight="1">
      <c r="A1180" s="74"/>
      <c r="B1180" s="38"/>
      <c r="C1180" s="38"/>
      <c r="D1180" s="38"/>
      <c r="E1180" s="74"/>
      <c r="F1180" s="74"/>
      <c r="G1180" s="74"/>
      <c r="H1180" s="74"/>
      <c r="I1180" s="74"/>
      <c r="J1180" s="74"/>
      <c r="K1180" s="74"/>
      <c r="L1180" s="74"/>
      <c r="M1180" s="74"/>
      <c r="N1180" s="74"/>
      <c r="O1180" s="74"/>
      <c r="P1180" s="74"/>
      <c r="Q1180" s="74"/>
      <c r="R1180" s="74"/>
      <c r="S1180" s="74"/>
      <c r="T1180" s="74"/>
      <c r="U1180" s="74"/>
      <c r="V1180" s="74"/>
      <c r="W1180" s="74"/>
      <c r="X1180" s="74"/>
      <c r="Y1180" s="74"/>
      <c r="Z1180" s="74"/>
      <c r="AA1180" s="74"/>
      <c r="AB1180" s="74"/>
      <c r="AC1180" s="74"/>
      <c r="AD1180" s="74"/>
      <c r="AE1180" s="74"/>
      <c r="AF1180" s="74"/>
      <c r="AG1180" s="74"/>
      <c r="AH1180" s="74"/>
      <c r="AI1180" s="74"/>
      <c r="AJ1180" s="74"/>
      <c r="AK1180" s="74"/>
      <c r="AL1180" s="38"/>
      <c r="AM1180" s="38"/>
      <c r="AN1180" s="75"/>
      <c r="AO1180" s="75"/>
      <c r="AP1180" s="38"/>
      <c r="AQ1180" s="38"/>
      <c r="AR1180" s="38"/>
      <c r="AS1180" s="38"/>
      <c r="AT1180" s="38"/>
      <c r="AU1180" s="38"/>
      <c r="AV1180" s="38"/>
      <c r="AW1180" s="38"/>
      <c r="AX1180" s="38"/>
      <c r="AY1180" s="38"/>
      <c r="AZ1180" s="38"/>
      <c r="BA1180" s="38"/>
      <c r="BB1180" s="38"/>
      <c r="BC1180" s="38"/>
      <c r="BD1180" s="38"/>
      <c r="BE1180" s="38"/>
      <c r="BF1180" s="38"/>
      <c r="BG1180" s="38"/>
      <c r="BH1180" s="38"/>
      <c r="BI1180" s="38"/>
      <c r="BJ1180" s="38"/>
      <c r="BK1180" s="38"/>
      <c r="BL1180" s="38"/>
      <c r="BM1180" s="38"/>
      <c r="BN1180" s="38"/>
      <c r="BO1180" s="38"/>
      <c r="BP1180" s="38"/>
      <c r="BQ1180" s="38"/>
      <c r="BR1180" s="38"/>
      <c r="BS1180" s="38"/>
      <c r="BT1180" s="38"/>
      <c r="BU1180" s="38"/>
      <c r="BV1180" s="38"/>
    </row>
    <row r="1181" ht="14.25" customHeight="1">
      <c r="A1181" s="74"/>
      <c r="B1181" s="38"/>
      <c r="C1181" s="38"/>
      <c r="D1181" s="38"/>
      <c r="E1181" s="74"/>
      <c r="F1181" s="74"/>
      <c r="G1181" s="74"/>
      <c r="H1181" s="74"/>
      <c r="I1181" s="74"/>
      <c r="J1181" s="74"/>
      <c r="K1181" s="74"/>
      <c r="L1181" s="74"/>
      <c r="M1181" s="74"/>
      <c r="N1181" s="74"/>
      <c r="O1181" s="74"/>
      <c r="P1181" s="74"/>
      <c r="Q1181" s="74"/>
      <c r="R1181" s="74"/>
      <c r="S1181" s="74"/>
      <c r="T1181" s="74"/>
      <c r="U1181" s="74"/>
      <c r="V1181" s="74"/>
      <c r="W1181" s="74"/>
      <c r="X1181" s="74"/>
      <c r="Y1181" s="74"/>
      <c r="Z1181" s="74"/>
      <c r="AA1181" s="74"/>
      <c r="AB1181" s="74"/>
      <c r="AC1181" s="74"/>
      <c r="AD1181" s="74"/>
      <c r="AE1181" s="74"/>
      <c r="AF1181" s="74"/>
      <c r="AG1181" s="74"/>
      <c r="AH1181" s="74"/>
      <c r="AI1181" s="74"/>
      <c r="AJ1181" s="74"/>
      <c r="AK1181" s="74"/>
      <c r="AL1181" s="38"/>
      <c r="AM1181" s="38"/>
      <c r="AN1181" s="75"/>
      <c r="AO1181" s="75"/>
      <c r="AP1181" s="38"/>
      <c r="AQ1181" s="38"/>
      <c r="AR1181" s="38"/>
      <c r="AS1181" s="38"/>
      <c r="AT1181" s="38"/>
      <c r="AU1181" s="38"/>
      <c r="AV1181" s="38"/>
      <c r="AW1181" s="38"/>
      <c r="AX1181" s="38"/>
      <c r="AY1181" s="38"/>
      <c r="AZ1181" s="38"/>
      <c r="BA1181" s="38"/>
      <c r="BB1181" s="38"/>
      <c r="BC1181" s="38"/>
      <c r="BD1181" s="38"/>
      <c r="BE1181" s="38"/>
      <c r="BF1181" s="38"/>
      <c r="BG1181" s="38"/>
      <c r="BH1181" s="38"/>
      <c r="BI1181" s="38"/>
      <c r="BJ1181" s="38"/>
      <c r="BK1181" s="38"/>
      <c r="BL1181" s="38"/>
      <c r="BM1181" s="38"/>
      <c r="BN1181" s="38"/>
      <c r="BO1181" s="38"/>
      <c r="BP1181" s="38"/>
      <c r="BQ1181" s="38"/>
      <c r="BR1181" s="38"/>
      <c r="BS1181" s="38"/>
      <c r="BT1181" s="38"/>
      <c r="BU1181" s="38"/>
      <c r="BV1181" s="38"/>
    </row>
    <row r="1182" ht="14.25" customHeight="1">
      <c r="A1182" s="74"/>
      <c r="B1182" s="38"/>
      <c r="C1182" s="38"/>
      <c r="D1182" s="38"/>
      <c r="E1182" s="74"/>
      <c r="F1182" s="74"/>
      <c r="G1182" s="74"/>
      <c r="H1182" s="74"/>
      <c r="I1182" s="74"/>
      <c r="J1182" s="74"/>
      <c r="K1182" s="74"/>
      <c r="L1182" s="74"/>
      <c r="M1182" s="74"/>
      <c r="N1182" s="74"/>
      <c r="O1182" s="74"/>
      <c r="P1182" s="74"/>
      <c r="Q1182" s="74"/>
      <c r="R1182" s="74"/>
      <c r="S1182" s="74"/>
      <c r="T1182" s="74"/>
      <c r="U1182" s="74"/>
      <c r="V1182" s="74"/>
      <c r="W1182" s="74"/>
      <c r="X1182" s="74"/>
      <c r="Y1182" s="74"/>
      <c r="Z1182" s="74"/>
      <c r="AA1182" s="74"/>
      <c r="AB1182" s="74"/>
      <c r="AC1182" s="74"/>
      <c r="AD1182" s="74"/>
      <c r="AE1182" s="74"/>
      <c r="AF1182" s="74"/>
      <c r="AG1182" s="74"/>
      <c r="AH1182" s="74"/>
      <c r="AI1182" s="74"/>
      <c r="AJ1182" s="74"/>
      <c r="AK1182" s="74"/>
      <c r="AL1182" s="38"/>
      <c r="AM1182" s="38"/>
      <c r="AN1182" s="75"/>
      <c r="AO1182" s="75"/>
      <c r="AP1182" s="38"/>
      <c r="AQ1182" s="38"/>
      <c r="AR1182" s="38"/>
      <c r="AS1182" s="38"/>
      <c r="AT1182" s="38"/>
      <c r="AU1182" s="38"/>
      <c r="AV1182" s="38"/>
      <c r="AW1182" s="38"/>
      <c r="AX1182" s="38"/>
      <c r="AY1182" s="38"/>
      <c r="AZ1182" s="38"/>
      <c r="BA1182" s="38"/>
      <c r="BB1182" s="38"/>
      <c r="BC1182" s="38"/>
      <c r="BD1182" s="38"/>
      <c r="BE1182" s="38"/>
      <c r="BF1182" s="38"/>
      <c r="BG1182" s="38"/>
      <c r="BH1182" s="38"/>
      <c r="BI1182" s="38"/>
      <c r="BJ1182" s="38"/>
      <c r="BK1182" s="38"/>
      <c r="BL1182" s="38"/>
      <c r="BM1182" s="38"/>
      <c r="BN1182" s="38"/>
      <c r="BO1182" s="38"/>
      <c r="BP1182" s="38"/>
      <c r="BQ1182" s="38"/>
      <c r="BR1182" s="38"/>
      <c r="BS1182" s="38"/>
      <c r="BT1182" s="38"/>
      <c r="BU1182" s="38"/>
      <c r="BV1182" s="38"/>
    </row>
    <row r="1183" ht="14.25" customHeight="1">
      <c r="A1183" s="74"/>
      <c r="B1183" s="38"/>
      <c r="C1183" s="38"/>
      <c r="D1183" s="38"/>
      <c r="E1183" s="74"/>
      <c r="F1183" s="74"/>
      <c r="G1183" s="74"/>
      <c r="H1183" s="74"/>
      <c r="I1183" s="74"/>
      <c r="J1183" s="74"/>
      <c r="K1183" s="74"/>
      <c r="L1183" s="74"/>
      <c r="M1183" s="74"/>
      <c r="N1183" s="74"/>
      <c r="O1183" s="74"/>
      <c r="P1183" s="74"/>
      <c r="Q1183" s="74"/>
      <c r="R1183" s="74"/>
      <c r="S1183" s="74"/>
      <c r="T1183" s="74"/>
      <c r="U1183" s="74"/>
      <c r="V1183" s="74"/>
      <c r="W1183" s="74"/>
      <c r="X1183" s="74"/>
      <c r="Y1183" s="74"/>
      <c r="Z1183" s="74"/>
      <c r="AA1183" s="74"/>
      <c r="AB1183" s="74"/>
      <c r="AC1183" s="74"/>
      <c r="AD1183" s="74"/>
      <c r="AE1183" s="74"/>
      <c r="AF1183" s="74"/>
      <c r="AG1183" s="74"/>
      <c r="AH1183" s="74"/>
      <c r="AI1183" s="74"/>
      <c r="AJ1183" s="74"/>
      <c r="AK1183" s="74"/>
      <c r="AL1183" s="38"/>
      <c r="AM1183" s="38"/>
      <c r="AN1183" s="75"/>
      <c r="AO1183" s="75"/>
      <c r="AP1183" s="38"/>
      <c r="AQ1183" s="38"/>
      <c r="AR1183" s="38"/>
      <c r="AS1183" s="38"/>
      <c r="AT1183" s="38"/>
      <c r="AU1183" s="38"/>
      <c r="AV1183" s="38"/>
      <c r="AW1183" s="38"/>
      <c r="AX1183" s="38"/>
      <c r="AY1183" s="38"/>
      <c r="AZ1183" s="38"/>
      <c r="BA1183" s="38"/>
      <c r="BB1183" s="38"/>
      <c r="BC1183" s="38"/>
      <c r="BD1183" s="38"/>
      <c r="BE1183" s="38"/>
      <c r="BF1183" s="38"/>
      <c r="BG1183" s="38"/>
      <c r="BH1183" s="38"/>
      <c r="BI1183" s="38"/>
      <c r="BJ1183" s="38"/>
      <c r="BK1183" s="38"/>
      <c r="BL1183" s="38"/>
      <c r="BM1183" s="38"/>
      <c r="BN1183" s="38"/>
      <c r="BO1183" s="38"/>
      <c r="BP1183" s="38"/>
      <c r="BQ1183" s="38"/>
      <c r="BR1183" s="38"/>
      <c r="BS1183" s="38"/>
      <c r="BT1183" s="38"/>
      <c r="BU1183" s="38"/>
      <c r="BV1183" s="38"/>
    </row>
    <row r="1184" ht="14.25" customHeight="1">
      <c r="A1184" s="74"/>
      <c r="B1184" s="38"/>
      <c r="C1184" s="38"/>
      <c r="D1184" s="38"/>
      <c r="E1184" s="74"/>
      <c r="F1184" s="74"/>
      <c r="G1184" s="74"/>
      <c r="H1184" s="74"/>
      <c r="I1184" s="74"/>
      <c r="J1184" s="74"/>
      <c r="K1184" s="74"/>
      <c r="L1184" s="74"/>
      <c r="M1184" s="74"/>
      <c r="N1184" s="74"/>
      <c r="O1184" s="74"/>
      <c r="P1184" s="74"/>
      <c r="Q1184" s="74"/>
      <c r="R1184" s="74"/>
      <c r="S1184" s="74"/>
      <c r="T1184" s="74"/>
      <c r="U1184" s="74"/>
      <c r="V1184" s="74"/>
      <c r="W1184" s="74"/>
      <c r="X1184" s="74"/>
      <c r="Y1184" s="74"/>
      <c r="Z1184" s="74"/>
      <c r="AA1184" s="74"/>
      <c r="AB1184" s="74"/>
      <c r="AC1184" s="74"/>
      <c r="AD1184" s="74"/>
      <c r="AE1184" s="74"/>
      <c r="AF1184" s="74"/>
      <c r="AG1184" s="74"/>
      <c r="AH1184" s="74"/>
      <c r="AI1184" s="74"/>
      <c r="AJ1184" s="74"/>
      <c r="AK1184" s="74"/>
      <c r="AL1184" s="38"/>
      <c r="AM1184" s="38"/>
      <c r="AN1184" s="75"/>
      <c r="AO1184" s="75"/>
      <c r="AP1184" s="38"/>
      <c r="AQ1184" s="38"/>
      <c r="AR1184" s="38"/>
      <c r="AS1184" s="38"/>
      <c r="AT1184" s="38"/>
      <c r="AU1184" s="38"/>
      <c r="AV1184" s="38"/>
      <c r="AW1184" s="38"/>
      <c r="AX1184" s="38"/>
      <c r="AY1184" s="38"/>
      <c r="AZ1184" s="38"/>
      <c r="BA1184" s="38"/>
      <c r="BB1184" s="38"/>
      <c r="BC1184" s="38"/>
      <c r="BD1184" s="38"/>
      <c r="BE1184" s="38"/>
      <c r="BF1184" s="38"/>
      <c r="BG1184" s="38"/>
      <c r="BH1184" s="38"/>
      <c r="BI1184" s="38"/>
      <c r="BJ1184" s="38"/>
      <c r="BK1184" s="38"/>
      <c r="BL1184" s="38"/>
      <c r="BM1184" s="38"/>
      <c r="BN1184" s="38"/>
      <c r="BO1184" s="38"/>
      <c r="BP1184" s="38"/>
      <c r="BQ1184" s="38"/>
      <c r="BR1184" s="38"/>
      <c r="BS1184" s="38"/>
      <c r="BT1184" s="38"/>
      <c r="BU1184" s="38"/>
      <c r="BV1184" s="38"/>
    </row>
    <row r="1185" ht="14.25" customHeight="1">
      <c r="A1185" s="74"/>
      <c r="B1185" s="38"/>
      <c r="C1185" s="38"/>
      <c r="D1185" s="38"/>
      <c r="E1185" s="74"/>
      <c r="F1185" s="74"/>
      <c r="G1185" s="74"/>
      <c r="H1185" s="74"/>
      <c r="I1185" s="74"/>
      <c r="J1185" s="74"/>
      <c r="K1185" s="74"/>
      <c r="L1185" s="74"/>
      <c r="M1185" s="74"/>
      <c r="N1185" s="74"/>
      <c r="O1185" s="74"/>
      <c r="P1185" s="74"/>
      <c r="Q1185" s="74"/>
      <c r="R1185" s="74"/>
      <c r="S1185" s="74"/>
      <c r="T1185" s="74"/>
      <c r="U1185" s="74"/>
      <c r="V1185" s="74"/>
      <c r="W1185" s="74"/>
      <c r="X1185" s="74"/>
      <c r="Y1185" s="74"/>
      <c r="Z1185" s="74"/>
      <c r="AA1185" s="74"/>
      <c r="AB1185" s="74"/>
      <c r="AC1185" s="74"/>
      <c r="AD1185" s="74"/>
      <c r="AE1185" s="74"/>
      <c r="AF1185" s="74"/>
      <c r="AG1185" s="74"/>
      <c r="AH1185" s="74"/>
      <c r="AI1185" s="74"/>
      <c r="AJ1185" s="74"/>
      <c r="AK1185" s="74"/>
      <c r="AL1185" s="38"/>
      <c r="AM1185" s="38"/>
      <c r="AN1185" s="75"/>
      <c r="AO1185" s="75"/>
      <c r="AP1185" s="38"/>
      <c r="AQ1185" s="38"/>
      <c r="AR1185" s="38"/>
      <c r="AS1185" s="38"/>
      <c r="AT1185" s="38"/>
      <c r="AU1185" s="38"/>
      <c r="AV1185" s="38"/>
      <c r="AW1185" s="38"/>
      <c r="AX1185" s="38"/>
      <c r="AY1185" s="38"/>
      <c r="AZ1185" s="38"/>
      <c r="BA1185" s="38"/>
      <c r="BB1185" s="38"/>
      <c r="BC1185" s="38"/>
      <c r="BD1185" s="38"/>
      <c r="BE1185" s="38"/>
      <c r="BF1185" s="38"/>
      <c r="BG1185" s="38"/>
      <c r="BH1185" s="38"/>
      <c r="BI1185" s="38"/>
      <c r="BJ1185" s="38"/>
      <c r="BK1185" s="38"/>
      <c r="BL1185" s="38"/>
      <c r="BM1185" s="38"/>
      <c r="BN1185" s="38"/>
      <c r="BO1185" s="38"/>
      <c r="BP1185" s="38"/>
      <c r="BQ1185" s="38"/>
      <c r="BR1185" s="38"/>
      <c r="BS1185" s="38"/>
      <c r="BT1185" s="38"/>
      <c r="BU1185" s="38"/>
      <c r="BV1185" s="38"/>
    </row>
    <row r="1186" ht="14.25" customHeight="1">
      <c r="A1186" s="74"/>
      <c r="B1186" s="38"/>
      <c r="C1186" s="38"/>
      <c r="D1186" s="38"/>
      <c r="E1186" s="74"/>
      <c r="F1186" s="74"/>
      <c r="G1186" s="74"/>
      <c r="H1186" s="74"/>
      <c r="I1186" s="74"/>
      <c r="J1186" s="74"/>
      <c r="K1186" s="74"/>
      <c r="L1186" s="74"/>
      <c r="M1186" s="74"/>
      <c r="N1186" s="74"/>
      <c r="O1186" s="74"/>
      <c r="P1186" s="74"/>
      <c r="Q1186" s="74"/>
      <c r="R1186" s="74"/>
      <c r="S1186" s="74"/>
      <c r="T1186" s="74"/>
      <c r="U1186" s="74"/>
      <c r="V1186" s="74"/>
      <c r="W1186" s="74"/>
      <c r="X1186" s="74"/>
      <c r="Y1186" s="74"/>
      <c r="Z1186" s="74"/>
      <c r="AA1186" s="74"/>
      <c r="AB1186" s="74"/>
      <c r="AC1186" s="74"/>
      <c r="AD1186" s="74"/>
      <c r="AE1186" s="74"/>
      <c r="AF1186" s="74"/>
      <c r="AG1186" s="74"/>
      <c r="AH1186" s="74"/>
      <c r="AI1186" s="74"/>
      <c r="AJ1186" s="74"/>
      <c r="AK1186" s="74"/>
      <c r="AL1186" s="38"/>
      <c r="AM1186" s="38"/>
      <c r="AN1186" s="75"/>
      <c r="AO1186" s="75"/>
      <c r="AP1186" s="38"/>
      <c r="AQ1186" s="38"/>
      <c r="AR1186" s="38"/>
      <c r="AS1186" s="38"/>
      <c r="AT1186" s="38"/>
      <c r="AU1186" s="38"/>
      <c r="AV1186" s="38"/>
      <c r="AW1186" s="38"/>
      <c r="AX1186" s="38"/>
      <c r="AY1186" s="38"/>
      <c r="AZ1186" s="38"/>
      <c r="BA1186" s="38"/>
      <c r="BB1186" s="38"/>
      <c r="BC1186" s="38"/>
      <c r="BD1186" s="38"/>
      <c r="BE1186" s="38"/>
      <c r="BF1186" s="38"/>
      <c r="BG1186" s="38"/>
      <c r="BH1186" s="38"/>
      <c r="BI1186" s="38"/>
      <c r="BJ1186" s="38"/>
      <c r="BK1186" s="38"/>
      <c r="BL1186" s="38"/>
      <c r="BM1186" s="38"/>
      <c r="BN1186" s="38"/>
      <c r="BO1186" s="38"/>
      <c r="BP1186" s="38"/>
      <c r="BQ1186" s="38"/>
      <c r="BR1186" s="38"/>
      <c r="BS1186" s="38"/>
      <c r="BT1186" s="38"/>
      <c r="BU1186" s="38"/>
      <c r="BV1186" s="38"/>
    </row>
    <row r="1187" ht="14.25" customHeight="1">
      <c r="A1187" s="74"/>
      <c r="B1187" s="38"/>
      <c r="C1187" s="38"/>
      <c r="D1187" s="38"/>
      <c r="E1187" s="74"/>
      <c r="F1187" s="74"/>
      <c r="G1187" s="74"/>
      <c r="H1187" s="74"/>
      <c r="I1187" s="74"/>
      <c r="J1187" s="74"/>
      <c r="K1187" s="74"/>
      <c r="L1187" s="74"/>
      <c r="M1187" s="74"/>
      <c r="N1187" s="74"/>
      <c r="O1187" s="74"/>
      <c r="P1187" s="74"/>
      <c r="Q1187" s="74"/>
      <c r="R1187" s="74"/>
      <c r="S1187" s="74"/>
      <c r="T1187" s="74"/>
      <c r="U1187" s="74"/>
      <c r="V1187" s="74"/>
      <c r="W1187" s="74"/>
      <c r="X1187" s="74"/>
      <c r="Y1187" s="74"/>
      <c r="Z1187" s="74"/>
      <c r="AA1187" s="74"/>
      <c r="AB1187" s="74"/>
      <c r="AC1187" s="74"/>
      <c r="AD1187" s="74"/>
      <c r="AE1187" s="74"/>
      <c r="AF1187" s="74"/>
      <c r="AG1187" s="74"/>
      <c r="AH1187" s="74"/>
      <c r="AI1187" s="74"/>
      <c r="AJ1187" s="74"/>
      <c r="AK1187" s="74"/>
      <c r="AL1187" s="38"/>
      <c r="AM1187" s="38"/>
      <c r="AN1187" s="75"/>
      <c r="AO1187" s="75"/>
      <c r="AP1187" s="38"/>
      <c r="AQ1187" s="38"/>
      <c r="AR1187" s="38"/>
      <c r="AS1187" s="38"/>
      <c r="AT1187" s="38"/>
      <c r="AU1187" s="38"/>
      <c r="AV1187" s="38"/>
      <c r="AW1187" s="38"/>
      <c r="AX1187" s="38"/>
      <c r="AY1187" s="38"/>
      <c r="AZ1187" s="38"/>
      <c r="BA1187" s="38"/>
      <c r="BB1187" s="38"/>
      <c r="BC1187" s="38"/>
      <c r="BD1187" s="38"/>
      <c r="BE1187" s="38"/>
      <c r="BF1187" s="38"/>
      <c r="BG1187" s="38"/>
      <c r="BH1187" s="38"/>
      <c r="BI1187" s="38"/>
      <c r="BJ1187" s="38"/>
      <c r="BK1187" s="38"/>
      <c r="BL1187" s="38"/>
      <c r="BM1187" s="38"/>
      <c r="BN1187" s="38"/>
      <c r="BO1187" s="38"/>
      <c r="BP1187" s="38"/>
      <c r="BQ1187" s="38"/>
      <c r="BR1187" s="38"/>
      <c r="BS1187" s="38"/>
      <c r="BT1187" s="38"/>
      <c r="BU1187" s="38"/>
      <c r="BV1187" s="38"/>
    </row>
    <row r="1188" ht="14.25" customHeight="1">
      <c r="A1188" s="74"/>
      <c r="B1188" s="38"/>
      <c r="C1188" s="38"/>
      <c r="D1188" s="38"/>
      <c r="E1188" s="74"/>
      <c r="F1188" s="74"/>
      <c r="G1188" s="74"/>
      <c r="H1188" s="74"/>
      <c r="I1188" s="74"/>
      <c r="J1188" s="74"/>
      <c r="K1188" s="74"/>
      <c r="L1188" s="74"/>
      <c r="M1188" s="74"/>
      <c r="N1188" s="74"/>
      <c r="O1188" s="74"/>
      <c r="P1188" s="74"/>
      <c r="Q1188" s="74"/>
      <c r="R1188" s="74"/>
      <c r="S1188" s="74"/>
      <c r="T1188" s="74"/>
      <c r="U1188" s="74"/>
      <c r="V1188" s="74"/>
      <c r="W1188" s="74"/>
      <c r="X1188" s="74"/>
      <c r="Y1188" s="74"/>
      <c r="Z1188" s="74"/>
      <c r="AA1188" s="74"/>
      <c r="AB1188" s="74"/>
      <c r="AC1188" s="74"/>
      <c r="AD1188" s="74"/>
      <c r="AE1188" s="74"/>
      <c r="AF1188" s="74"/>
      <c r="AG1188" s="74"/>
      <c r="AH1188" s="74"/>
      <c r="AI1188" s="74"/>
      <c r="AJ1188" s="74"/>
      <c r="AK1188" s="74"/>
      <c r="AL1188" s="38"/>
      <c r="AM1188" s="38"/>
      <c r="AN1188" s="75"/>
      <c r="AO1188" s="75"/>
      <c r="AP1188" s="38"/>
      <c r="AQ1188" s="38"/>
      <c r="AR1188" s="38"/>
      <c r="AS1188" s="38"/>
      <c r="AT1188" s="38"/>
      <c r="AU1188" s="38"/>
      <c r="AV1188" s="38"/>
      <c r="AW1188" s="38"/>
      <c r="AX1188" s="38"/>
      <c r="AY1188" s="38"/>
      <c r="AZ1188" s="38"/>
      <c r="BA1188" s="38"/>
      <c r="BB1188" s="38"/>
      <c r="BC1188" s="38"/>
      <c r="BD1188" s="38"/>
      <c r="BE1188" s="38"/>
      <c r="BF1188" s="38"/>
      <c r="BG1188" s="38"/>
      <c r="BH1188" s="38"/>
      <c r="BI1188" s="38"/>
      <c r="BJ1188" s="38"/>
      <c r="BK1188" s="38"/>
      <c r="BL1188" s="38"/>
      <c r="BM1188" s="38"/>
      <c r="BN1188" s="38"/>
      <c r="BO1188" s="38"/>
      <c r="BP1188" s="38"/>
      <c r="BQ1188" s="38"/>
      <c r="BR1188" s="38"/>
      <c r="BS1188" s="38"/>
      <c r="BT1188" s="38"/>
      <c r="BU1188" s="38"/>
      <c r="BV1188" s="38"/>
    </row>
    <row r="1189" ht="14.25" customHeight="1">
      <c r="A1189" s="74"/>
      <c r="B1189" s="38"/>
      <c r="C1189" s="38"/>
      <c r="D1189" s="38"/>
      <c r="E1189" s="74"/>
      <c r="F1189" s="74"/>
      <c r="G1189" s="74"/>
      <c r="H1189" s="74"/>
      <c r="I1189" s="74"/>
      <c r="J1189" s="74"/>
      <c r="K1189" s="74"/>
      <c r="L1189" s="74"/>
      <c r="M1189" s="74"/>
      <c r="N1189" s="74"/>
      <c r="O1189" s="74"/>
      <c r="P1189" s="74"/>
      <c r="Q1189" s="74"/>
      <c r="R1189" s="74"/>
      <c r="S1189" s="74"/>
      <c r="T1189" s="74"/>
      <c r="U1189" s="74"/>
      <c r="V1189" s="74"/>
      <c r="W1189" s="74"/>
      <c r="X1189" s="74"/>
      <c r="Y1189" s="74"/>
      <c r="Z1189" s="74"/>
      <c r="AA1189" s="74"/>
      <c r="AB1189" s="74"/>
      <c r="AC1189" s="74"/>
      <c r="AD1189" s="74"/>
      <c r="AE1189" s="74"/>
      <c r="AF1189" s="74"/>
      <c r="AG1189" s="74"/>
      <c r="AH1189" s="74"/>
      <c r="AI1189" s="74"/>
      <c r="AJ1189" s="74"/>
      <c r="AK1189" s="74"/>
      <c r="AL1189" s="38"/>
      <c r="AM1189" s="38"/>
      <c r="AN1189" s="75"/>
      <c r="AO1189" s="75"/>
      <c r="AP1189" s="38"/>
      <c r="AQ1189" s="38"/>
      <c r="AR1189" s="38"/>
      <c r="AS1189" s="38"/>
      <c r="AT1189" s="38"/>
      <c r="AU1189" s="38"/>
      <c r="AV1189" s="38"/>
      <c r="AW1189" s="38"/>
      <c r="AX1189" s="38"/>
      <c r="AY1189" s="38"/>
      <c r="AZ1189" s="38"/>
      <c r="BA1189" s="38"/>
      <c r="BB1189" s="38"/>
      <c r="BC1189" s="38"/>
      <c r="BD1189" s="38"/>
      <c r="BE1189" s="38"/>
      <c r="BF1189" s="38"/>
      <c r="BG1189" s="38"/>
      <c r="BH1189" s="38"/>
      <c r="BI1189" s="38"/>
      <c r="BJ1189" s="38"/>
      <c r="BK1189" s="38"/>
      <c r="BL1189" s="38"/>
      <c r="BM1189" s="38"/>
      <c r="BN1189" s="38"/>
      <c r="BO1189" s="38"/>
      <c r="BP1189" s="38"/>
      <c r="BQ1189" s="38"/>
      <c r="BR1189" s="38"/>
      <c r="BS1189" s="38"/>
      <c r="BT1189" s="38"/>
      <c r="BU1189" s="38"/>
      <c r="BV1189" s="38"/>
    </row>
    <row r="1190" ht="14.25" customHeight="1">
      <c r="A1190" s="74"/>
      <c r="B1190" s="38"/>
      <c r="C1190" s="38"/>
      <c r="D1190" s="38"/>
      <c r="E1190" s="74"/>
      <c r="F1190" s="74"/>
      <c r="G1190" s="74"/>
      <c r="H1190" s="74"/>
      <c r="I1190" s="74"/>
      <c r="J1190" s="74"/>
      <c r="K1190" s="74"/>
      <c r="L1190" s="74"/>
      <c r="M1190" s="74"/>
      <c r="N1190" s="74"/>
      <c r="O1190" s="74"/>
      <c r="P1190" s="74"/>
      <c r="Q1190" s="74"/>
      <c r="R1190" s="74"/>
      <c r="S1190" s="74"/>
      <c r="T1190" s="74"/>
      <c r="U1190" s="74"/>
      <c r="V1190" s="74"/>
      <c r="W1190" s="74"/>
      <c r="X1190" s="74"/>
      <c r="Y1190" s="74"/>
      <c r="Z1190" s="74"/>
      <c r="AA1190" s="74"/>
      <c r="AB1190" s="74"/>
      <c r="AC1190" s="74"/>
      <c r="AD1190" s="74"/>
      <c r="AE1190" s="74"/>
      <c r="AF1190" s="74"/>
      <c r="AG1190" s="74"/>
      <c r="AH1190" s="74"/>
      <c r="AI1190" s="74"/>
      <c r="AJ1190" s="74"/>
      <c r="AK1190" s="74"/>
      <c r="AL1190" s="38"/>
      <c r="AM1190" s="38"/>
      <c r="AN1190" s="75"/>
      <c r="AO1190" s="75"/>
      <c r="AP1190" s="38"/>
      <c r="AQ1190" s="38"/>
      <c r="AR1190" s="38"/>
      <c r="AS1190" s="38"/>
      <c r="AT1190" s="38"/>
      <c r="AU1190" s="38"/>
      <c r="AV1190" s="38"/>
      <c r="AW1190" s="38"/>
      <c r="AX1190" s="38"/>
      <c r="AY1190" s="38"/>
      <c r="AZ1190" s="38"/>
      <c r="BA1190" s="38"/>
      <c r="BB1190" s="38"/>
      <c r="BC1190" s="38"/>
      <c r="BD1190" s="38"/>
      <c r="BE1190" s="38"/>
      <c r="BF1190" s="38"/>
      <c r="BG1190" s="38"/>
      <c r="BH1190" s="38"/>
      <c r="BI1190" s="38"/>
      <c r="BJ1190" s="38"/>
      <c r="BK1190" s="38"/>
      <c r="BL1190" s="38"/>
      <c r="BM1190" s="38"/>
      <c r="BN1190" s="38"/>
      <c r="BO1190" s="38"/>
      <c r="BP1190" s="38"/>
      <c r="BQ1190" s="38"/>
      <c r="BR1190" s="38"/>
      <c r="BS1190" s="38"/>
      <c r="BT1190" s="38"/>
      <c r="BU1190" s="38"/>
      <c r="BV1190" s="38"/>
    </row>
    <row r="1191" ht="14.25" customHeight="1">
      <c r="A1191" s="74"/>
      <c r="B1191" s="38"/>
      <c r="C1191" s="38"/>
      <c r="D1191" s="38"/>
      <c r="E1191" s="74"/>
      <c r="F1191" s="74"/>
      <c r="G1191" s="74"/>
      <c r="H1191" s="74"/>
      <c r="I1191" s="74"/>
      <c r="J1191" s="74"/>
      <c r="K1191" s="74"/>
      <c r="L1191" s="74"/>
      <c r="M1191" s="74"/>
      <c r="N1191" s="74"/>
      <c r="O1191" s="74"/>
      <c r="P1191" s="74"/>
      <c r="Q1191" s="74"/>
      <c r="R1191" s="74"/>
      <c r="S1191" s="74"/>
      <c r="T1191" s="74"/>
      <c r="U1191" s="74"/>
      <c r="V1191" s="74"/>
      <c r="W1191" s="74"/>
      <c r="X1191" s="74"/>
      <c r="Y1191" s="74"/>
      <c r="Z1191" s="74"/>
      <c r="AA1191" s="74"/>
      <c r="AB1191" s="74"/>
      <c r="AC1191" s="74"/>
      <c r="AD1191" s="74"/>
      <c r="AE1191" s="74"/>
      <c r="AF1191" s="74"/>
      <c r="AG1191" s="74"/>
      <c r="AH1191" s="74"/>
      <c r="AI1191" s="74"/>
      <c r="AJ1191" s="74"/>
      <c r="AK1191" s="74"/>
      <c r="AL1191" s="38"/>
      <c r="AM1191" s="38"/>
      <c r="AN1191" s="75"/>
      <c r="AO1191" s="75"/>
      <c r="AP1191" s="38"/>
      <c r="AQ1191" s="38"/>
      <c r="AR1191" s="38"/>
      <c r="AS1191" s="38"/>
      <c r="AT1191" s="38"/>
      <c r="AU1191" s="38"/>
      <c r="AV1191" s="38"/>
      <c r="AW1191" s="38"/>
      <c r="AX1191" s="38"/>
      <c r="AY1191" s="38"/>
      <c r="AZ1191" s="38"/>
      <c r="BA1191" s="38"/>
      <c r="BB1191" s="38"/>
      <c r="BC1191" s="38"/>
      <c r="BD1191" s="38"/>
      <c r="BE1191" s="38"/>
      <c r="BF1191" s="38"/>
      <c r="BG1191" s="38"/>
      <c r="BH1191" s="38"/>
      <c r="BI1191" s="38"/>
      <c r="BJ1191" s="38"/>
      <c r="BK1191" s="38"/>
      <c r="BL1191" s="38"/>
      <c r="BM1191" s="38"/>
      <c r="BN1191" s="38"/>
      <c r="BO1191" s="38"/>
      <c r="BP1191" s="38"/>
      <c r="BQ1191" s="38"/>
      <c r="BR1191" s="38"/>
      <c r="BS1191" s="38"/>
      <c r="BT1191" s="38"/>
      <c r="BU1191" s="38"/>
      <c r="BV1191" s="38"/>
    </row>
    <row r="1192" ht="14.25" customHeight="1">
      <c r="A1192" s="74"/>
      <c r="B1192" s="38"/>
      <c r="C1192" s="38"/>
      <c r="D1192" s="38"/>
      <c r="E1192" s="74"/>
      <c r="F1192" s="74"/>
      <c r="G1192" s="74"/>
      <c r="H1192" s="74"/>
      <c r="I1192" s="74"/>
      <c r="J1192" s="74"/>
      <c r="K1192" s="74"/>
      <c r="L1192" s="74"/>
      <c r="M1192" s="74"/>
      <c r="N1192" s="74"/>
      <c r="O1192" s="74"/>
      <c r="P1192" s="74"/>
      <c r="Q1192" s="74"/>
      <c r="R1192" s="74"/>
      <c r="S1192" s="74"/>
      <c r="T1192" s="74"/>
      <c r="U1192" s="74"/>
      <c r="V1192" s="74"/>
      <c r="W1192" s="74"/>
      <c r="X1192" s="74"/>
      <c r="Y1192" s="74"/>
      <c r="Z1192" s="74"/>
      <c r="AA1192" s="74"/>
      <c r="AB1192" s="74"/>
      <c r="AC1192" s="74"/>
      <c r="AD1192" s="74"/>
      <c r="AE1192" s="74"/>
      <c r="AF1192" s="74"/>
      <c r="AG1192" s="74"/>
      <c r="AH1192" s="74"/>
      <c r="AI1192" s="74"/>
      <c r="AJ1192" s="74"/>
      <c r="AK1192" s="74"/>
      <c r="AL1192" s="38"/>
      <c r="AM1192" s="38"/>
      <c r="AN1192" s="75"/>
      <c r="AO1192" s="75"/>
      <c r="AP1192" s="38"/>
      <c r="AQ1192" s="38"/>
      <c r="AR1192" s="38"/>
      <c r="AS1192" s="38"/>
      <c r="AT1192" s="38"/>
      <c r="AU1192" s="38"/>
      <c r="AV1192" s="38"/>
      <c r="AW1192" s="38"/>
      <c r="AX1192" s="38"/>
      <c r="AY1192" s="38"/>
      <c r="AZ1192" s="38"/>
      <c r="BA1192" s="38"/>
      <c r="BB1192" s="38"/>
      <c r="BC1192" s="38"/>
      <c r="BD1192" s="38"/>
      <c r="BE1192" s="38"/>
      <c r="BF1192" s="38"/>
      <c r="BG1192" s="38"/>
      <c r="BH1192" s="38"/>
      <c r="BI1192" s="38"/>
      <c r="BJ1192" s="38"/>
      <c r="BK1192" s="38"/>
      <c r="BL1192" s="38"/>
      <c r="BM1192" s="38"/>
      <c r="BN1192" s="38"/>
      <c r="BO1192" s="38"/>
      <c r="BP1192" s="38"/>
      <c r="BQ1192" s="38"/>
      <c r="BR1192" s="38"/>
      <c r="BS1192" s="38"/>
      <c r="BT1192" s="38"/>
      <c r="BU1192" s="38"/>
      <c r="BV1192" s="38"/>
    </row>
    <row r="1193" ht="14.25" customHeight="1">
      <c r="A1193" s="74"/>
      <c r="B1193" s="38"/>
      <c r="C1193" s="38"/>
      <c r="D1193" s="38"/>
      <c r="E1193" s="74"/>
      <c r="F1193" s="74"/>
      <c r="G1193" s="74"/>
      <c r="H1193" s="74"/>
      <c r="I1193" s="74"/>
      <c r="J1193" s="74"/>
      <c r="K1193" s="74"/>
      <c r="L1193" s="74"/>
      <c r="M1193" s="74"/>
      <c r="N1193" s="74"/>
      <c r="O1193" s="74"/>
      <c r="P1193" s="74"/>
      <c r="Q1193" s="74"/>
      <c r="R1193" s="74"/>
      <c r="S1193" s="74"/>
      <c r="T1193" s="74"/>
      <c r="U1193" s="74"/>
      <c r="V1193" s="74"/>
      <c r="W1193" s="74"/>
      <c r="X1193" s="74"/>
      <c r="Y1193" s="74"/>
      <c r="Z1193" s="74"/>
      <c r="AA1193" s="74"/>
      <c r="AB1193" s="74"/>
      <c r="AC1193" s="74"/>
      <c r="AD1193" s="74"/>
      <c r="AE1193" s="74"/>
      <c r="AF1193" s="74"/>
      <c r="AG1193" s="74"/>
      <c r="AH1193" s="74"/>
      <c r="AI1193" s="74"/>
      <c r="AJ1193" s="74"/>
      <c r="AK1193" s="74"/>
      <c r="AL1193" s="38"/>
      <c r="AM1193" s="38"/>
      <c r="AN1193" s="75"/>
      <c r="AO1193" s="75"/>
      <c r="AP1193" s="38"/>
      <c r="AQ1193" s="38"/>
      <c r="AR1193" s="38"/>
      <c r="AS1193" s="38"/>
      <c r="AT1193" s="38"/>
      <c r="AU1193" s="38"/>
      <c r="AV1193" s="38"/>
      <c r="AW1193" s="38"/>
      <c r="AX1193" s="38"/>
      <c r="AY1193" s="38"/>
      <c r="AZ1193" s="38"/>
      <c r="BA1193" s="38"/>
      <c r="BB1193" s="38"/>
      <c r="BC1193" s="38"/>
      <c r="BD1193" s="38"/>
      <c r="BE1193" s="38"/>
      <c r="BF1193" s="38"/>
      <c r="BG1193" s="38"/>
      <c r="BH1193" s="38"/>
      <c r="BI1193" s="38"/>
      <c r="BJ1193" s="38"/>
      <c r="BK1193" s="38"/>
      <c r="BL1193" s="38"/>
      <c r="BM1193" s="38"/>
      <c r="BN1193" s="38"/>
      <c r="BO1193" s="38"/>
      <c r="BP1193" s="38"/>
      <c r="BQ1193" s="38"/>
      <c r="BR1193" s="38"/>
      <c r="BS1193" s="38"/>
      <c r="BT1193" s="38"/>
      <c r="BU1193" s="38"/>
      <c r="BV1193" s="38"/>
    </row>
    <row r="1194" ht="14.25" customHeight="1">
      <c r="A1194" s="74"/>
      <c r="B1194" s="38"/>
      <c r="C1194" s="38"/>
      <c r="D1194" s="38"/>
      <c r="E1194" s="74"/>
      <c r="F1194" s="74"/>
      <c r="G1194" s="74"/>
      <c r="H1194" s="74"/>
      <c r="I1194" s="74"/>
      <c r="J1194" s="74"/>
      <c r="K1194" s="74"/>
      <c r="L1194" s="74"/>
      <c r="M1194" s="74"/>
      <c r="N1194" s="74"/>
      <c r="O1194" s="74"/>
      <c r="P1194" s="74"/>
      <c r="Q1194" s="74"/>
      <c r="R1194" s="74"/>
      <c r="S1194" s="74"/>
      <c r="T1194" s="74"/>
      <c r="U1194" s="74"/>
      <c r="V1194" s="74"/>
      <c r="W1194" s="74"/>
      <c r="X1194" s="74"/>
      <c r="Y1194" s="74"/>
      <c r="Z1194" s="74"/>
      <c r="AA1194" s="74"/>
      <c r="AB1194" s="74"/>
      <c r="AC1194" s="74"/>
      <c r="AD1194" s="74"/>
      <c r="AE1194" s="74"/>
      <c r="AF1194" s="74"/>
      <c r="AG1194" s="74"/>
      <c r="AH1194" s="74"/>
      <c r="AI1194" s="74"/>
      <c r="AJ1194" s="74"/>
      <c r="AK1194" s="74"/>
      <c r="AL1194" s="38"/>
      <c r="AM1194" s="38"/>
      <c r="AN1194" s="75"/>
      <c r="AO1194" s="75"/>
      <c r="AP1194" s="38"/>
      <c r="AQ1194" s="38"/>
      <c r="AR1194" s="38"/>
      <c r="AS1194" s="38"/>
      <c r="AT1194" s="38"/>
      <c r="AU1194" s="38"/>
      <c r="AV1194" s="38"/>
      <c r="AW1194" s="38"/>
      <c r="AX1194" s="38"/>
      <c r="AY1194" s="38"/>
      <c r="AZ1194" s="38"/>
      <c r="BA1194" s="38"/>
      <c r="BB1194" s="38"/>
      <c r="BC1194" s="38"/>
      <c r="BD1194" s="38"/>
      <c r="BE1194" s="38"/>
      <c r="BF1194" s="38"/>
      <c r="BG1194" s="38"/>
      <c r="BH1194" s="38"/>
      <c r="BI1194" s="38"/>
      <c r="BJ1194" s="38"/>
      <c r="BK1194" s="38"/>
      <c r="BL1194" s="38"/>
      <c r="BM1194" s="38"/>
      <c r="BN1194" s="38"/>
      <c r="BO1194" s="38"/>
      <c r="BP1194" s="38"/>
      <c r="BQ1194" s="38"/>
      <c r="BR1194" s="38"/>
      <c r="BS1194" s="38"/>
      <c r="BT1194" s="38"/>
      <c r="BU1194" s="38"/>
      <c r="BV1194" s="38"/>
    </row>
    <row r="1195" ht="14.25" customHeight="1">
      <c r="A1195" s="74"/>
      <c r="B1195" s="38"/>
      <c r="C1195" s="38"/>
      <c r="D1195" s="38"/>
      <c r="E1195" s="74"/>
      <c r="F1195" s="74"/>
      <c r="G1195" s="74"/>
      <c r="H1195" s="74"/>
      <c r="I1195" s="74"/>
      <c r="J1195" s="74"/>
      <c r="K1195" s="74"/>
      <c r="L1195" s="74"/>
      <c r="M1195" s="74"/>
      <c r="N1195" s="74"/>
      <c r="O1195" s="74"/>
      <c r="P1195" s="74"/>
      <c r="Q1195" s="74"/>
      <c r="R1195" s="74"/>
      <c r="S1195" s="74"/>
      <c r="T1195" s="74"/>
      <c r="U1195" s="74"/>
      <c r="V1195" s="74"/>
      <c r="W1195" s="74"/>
      <c r="X1195" s="74"/>
      <c r="Y1195" s="74"/>
      <c r="Z1195" s="74"/>
      <c r="AA1195" s="74"/>
      <c r="AB1195" s="74"/>
      <c r="AC1195" s="74"/>
      <c r="AD1195" s="74"/>
      <c r="AE1195" s="74"/>
      <c r="AF1195" s="74"/>
      <c r="AG1195" s="74"/>
      <c r="AH1195" s="74"/>
      <c r="AI1195" s="74"/>
      <c r="AJ1195" s="74"/>
      <c r="AK1195" s="74"/>
      <c r="AL1195" s="38"/>
      <c r="AM1195" s="38"/>
      <c r="AN1195" s="75"/>
      <c r="AO1195" s="75"/>
      <c r="AP1195" s="38"/>
      <c r="AQ1195" s="38"/>
      <c r="AR1195" s="38"/>
      <c r="AS1195" s="38"/>
      <c r="AT1195" s="38"/>
      <c r="AU1195" s="38"/>
      <c r="AV1195" s="38"/>
      <c r="AW1195" s="38"/>
      <c r="AX1195" s="38"/>
      <c r="AY1195" s="38"/>
      <c r="AZ1195" s="38"/>
      <c r="BA1195" s="38"/>
      <c r="BB1195" s="38"/>
      <c r="BC1195" s="38"/>
      <c r="BD1195" s="38"/>
      <c r="BE1195" s="38"/>
      <c r="BF1195" s="38"/>
      <c r="BG1195" s="38"/>
      <c r="BH1195" s="38"/>
      <c r="BI1195" s="38"/>
      <c r="BJ1195" s="38"/>
      <c r="BK1195" s="38"/>
      <c r="BL1195" s="38"/>
      <c r="BM1195" s="38"/>
      <c r="BN1195" s="38"/>
      <c r="BO1195" s="38"/>
      <c r="BP1195" s="38"/>
      <c r="BQ1195" s="38"/>
      <c r="BR1195" s="38"/>
      <c r="BS1195" s="38"/>
      <c r="BT1195" s="38"/>
      <c r="BU1195" s="38"/>
      <c r="BV1195" s="38"/>
    </row>
    <row r="1196" ht="14.25" customHeight="1">
      <c r="A1196" s="74"/>
      <c r="B1196" s="38"/>
      <c r="C1196" s="38"/>
      <c r="D1196" s="38"/>
      <c r="E1196" s="74"/>
      <c r="F1196" s="74"/>
      <c r="G1196" s="74"/>
      <c r="H1196" s="74"/>
      <c r="I1196" s="74"/>
      <c r="J1196" s="74"/>
      <c r="K1196" s="74"/>
      <c r="L1196" s="74"/>
      <c r="M1196" s="74"/>
      <c r="N1196" s="74"/>
      <c r="O1196" s="74"/>
      <c r="P1196" s="74"/>
      <c r="Q1196" s="74"/>
      <c r="R1196" s="74"/>
      <c r="S1196" s="74"/>
      <c r="T1196" s="74"/>
      <c r="U1196" s="74"/>
      <c r="V1196" s="74"/>
      <c r="W1196" s="74"/>
      <c r="X1196" s="74"/>
      <c r="Y1196" s="74"/>
      <c r="Z1196" s="74"/>
      <c r="AA1196" s="74"/>
      <c r="AB1196" s="74"/>
      <c r="AC1196" s="74"/>
      <c r="AD1196" s="74"/>
      <c r="AE1196" s="74"/>
      <c r="AF1196" s="74"/>
      <c r="AG1196" s="74"/>
      <c r="AH1196" s="74"/>
      <c r="AI1196" s="74"/>
      <c r="AJ1196" s="74"/>
      <c r="AK1196" s="74"/>
      <c r="AL1196" s="38"/>
      <c r="AM1196" s="38"/>
      <c r="AN1196" s="75"/>
      <c r="AO1196" s="75"/>
      <c r="AP1196" s="38"/>
      <c r="AQ1196" s="38"/>
      <c r="AR1196" s="38"/>
      <c r="AS1196" s="38"/>
      <c r="AT1196" s="38"/>
      <c r="AU1196" s="38"/>
      <c r="AV1196" s="38"/>
      <c r="AW1196" s="38"/>
      <c r="AX1196" s="38"/>
      <c r="AY1196" s="38"/>
      <c r="AZ1196" s="38"/>
      <c r="BA1196" s="38"/>
      <c r="BB1196" s="38"/>
      <c r="BC1196" s="38"/>
      <c r="BD1196" s="38"/>
      <c r="BE1196" s="38"/>
      <c r="BF1196" s="38"/>
      <c r="BG1196" s="38"/>
      <c r="BH1196" s="38"/>
      <c r="BI1196" s="38"/>
      <c r="BJ1196" s="38"/>
      <c r="BK1196" s="38"/>
      <c r="BL1196" s="38"/>
      <c r="BM1196" s="38"/>
      <c r="BN1196" s="38"/>
      <c r="BO1196" s="38"/>
      <c r="BP1196" s="38"/>
      <c r="BQ1196" s="38"/>
      <c r="BR1196" s="38"/>
      <c r="BS1196" s="38"/>
      <c r="BT1196" s="38"/>
      <c r="BU1196" s="38"/>
      <c r="BV1196" s="38"/>
    </row>
    <row r="1197" ht="14.25" customHeight="1">
      <c r="A1197" s="74"/>
      <c r="B1197" s="38"/>
      <c r="C1197" s="38"/>
      <c r="D1197" s="38"/>
      <c r="E1197" s="74"/>
      <c r="F1197" s="74"/>
      <c r="G1197" s="74"/>
      <c r="H1197" s="74"/>
      <c r="I1197" s="74"/>
      <c r="J1197" s="74"/>
      <c r="K1197" s="74"/>
      <c r="L1197" s="74"/>
      <c r="M1197" s="74"/>
      <c r="N1197" s="74"/>
      <c r="O1197" s="74"/>
      <c r="P1197" s="74"/>
      <c r="Q1197" s="74"/>
      <c r="R1197" s="74"/>
      <c r="S1197" s="74"/>
      <c r="T1197" s="74"/>
      <c r="U1197" s="74"/>
      <c r="V1197" s="74"/>
      <c r="W1197" s="74"/>
      <c r="X1197" s="74"/>
      <c r="Y1197" s="74"/>
      <c r="Z1197" s="74"/>
      <c r="AA1197" s="74"/>
      <c r="AB1197" s="74"/>
      <c r="AC1197" s="74"/>
      <c r="AD1197" s="74"/>
      <c r="AE1197" s="74"/>
      <c r="AF1197" s="74"/>
      <c r="AG1197" s="74"/>
      <c r="AH1197" s="74"/>
      <c r="AI1197" s="74"/>
      <c r="AJ1197" s="74"/>
      <c r="AK1197" s="74"/>
      <c r="AL1197" s="38"/>
      <c r="AM1197" s="38"/>
      <c r="AN1197" s="75"/>
      <c r="AO1197" s="75"/>
      <c r="AP1197" s="38"/>
      <c r="AQ1197" s="38"/>
      <c r="AR1197" s="38"/>
      <c r="AS1197" s="38"/>
      <c r="AT1197" s="38"/>
      <c r="AU1197" s="38"/>
      <c r="AV1197" s="38"/>
      <c r="AW1197" s="38"/>
      <c r="AX1197" s="38"/>
      <c r="AY1197" s="38"/>
      <c r="AZ1197" s="38"/>
      <c r="BA1197" s="38"/>
      <c r="BB1197" s="38"/>
      <c r="BC1197" s="38"/>
      <c r="BD1197" s="38"/>
      <c r="BE1197" s="38"/>
      <c r="BF1197" s="38"/>
      <c r="BG1197" s="38"/>
      <c r="BH1197" s="38"/>
      <c r="BI1197" s="38"/>
      <c r="BJ1197" s="38"/>
      <c r="BK1197" s="38"/>
      <c r="BL1197" s="38"/>
      <c r="BM1197" s="38"/>
      <c r="BN1197" s="38"/>
      <c r="BO1197" s="38"/>
      <c r="BP1197" s="38"/>
      <c r="BQ1197" s="38"/>
      <c r="BR1197" s="38"/>
      <c r="BS1197" s="38"/>
      <c r="BT1197" s="38"/>
      <c r="BU1197" s="38"/>
      <c r="BV1197" s="38"/>
    </row>
    <row r="1198" ht="14.25" customHeight="1">
      <c r="A1198" s="74"/>
      <c r="B1198" s="38"/>
      <c r="C1198" s="38"/>
      <c r="D1198" s="38"/>
      <c r="E1198" s="74"/>
      <c r="F1198" s="74"/>
      <c r="G1198" s="74"/>
      <c r="H1198" s="74"/>
      <c r="I1198" s="74"/>
      <c r="J1198" s="74"/>
      <c r="K1198" s="74"/>
      <c r="L1198" s="74"/>
      <c r="M1198" s="74"/>
      <c r="N1198" s="74"/>
      <c r="O1198" s="74"/>
      <c r="P1198" s="74"/>
      <c r="Q1198" s="74"/>
      <c r="R1198" s="74"/>
      <c r="S1198" s="74"/>
      <c r="T1198" s="74"/>
      <c r="U1198" s="74"/>
      <c r="V1198" s="74"/>
      <c r="W1198" s="74"/>
      <c r="X1198" s="74"/>
      <c r="Y1198" s="74"/>
      <c r="Z1198" s="74"/>
      <c r="AA1198" s="74"/>
      <c r="AB1198" s="74"/>
      <c r="AC1198" s="74"/>
      <c r="AD1198" s="74"/>
      <c r="AE1198" s="74"/>
      <c r="AF1198" s="74"/>
      <c r="AG1198" s="74"/>
      <c r="AH1198" s="74"/>
      <c r="AI1198" s="74"/>
      <c r="AJ1198" s="74"/>
      <c r="AK1198" s="74"/>
      <c r="AL1198" s="38"/>
      <c r="AM1198" s="38"/>
      <c r="AN1198" s="75"/>
      <c r="AO1198" s="75"/>
      <c r="AP1198" s="38"/>
      <c r="AQ1198" s="38"/>
      <c r="AR1198" s="38"/>
      <c r="AS1198" s="38"/>
      <c r="AT1198" s="38"/>
      <c r="AU1198" s="38"/>
      <c r="AV1198" s="38"/>
      <c r="AW1198" s="38"/>
      <c r="AX1198" s="38"/>
      <c r="AY1198" s="38"/>
      <c r="AZ1198" s="38"/>
      <c r="BA1198" s="38"/>
      <c r="BB1198" s="38"/>
      <c r="BC1198" s="38"/>
      <c r="BD1198" s="38"/>
      <c r="BE1198" s="38"/>
      <c r="BF1198" s="38"/>
      <c r="BG1198" s="38"/>
      <c r="BH1198" s="38"/>
      <c r="BI1198" s="38"/>
      <c r="BJ1198" s="38"/>
      <c r="BK1198" s="38"/>
      <c r="BL1198" s="38"/>
      <c r="BM1198" s="38"/>
      <c r="BN1198" s="38"/>
      <c r="BO1198" s="38"/>
      <c r="BP1198" s="38"/>
      <c r="BQ1198" s="38"/>
      <c r="BR1198" s="38"/>
      <c r="BS1198" s="38"/>
      <c r="BT1198" s="38"/>
      <c r="BU1198" s="38"/>
      <c r="BV1198" s="38"/>
    </row>
    <row r="1199" ht="14.25" customHeight="1">
      <c r="A1199" s="74"/>
      <c r="B1199" s="38"/>
      <c r="C1199" s="38"/>
      <c r="D1199" s="38"/>
      <c r="E1199" s="74"/>
      <c r="F1199" s="74"/>
      <c r="G1199" s="74"/>
      <c r="H1199" s="74"/>
      <c r="I1199" s="74"/>
      <c r="J1199" s="74"/>
      <c r="K1199" s="74"/>
      <c r="L1199" s="74"/>
      <c r="M1199" s="74"/>
      <c r="N1199" s="74"/>
      <c r="O1199" s="74"/>
      <c r="P1199" s="74"/>
      <c r="Q1199" s="74"/>
      <c r="R1199" s="74"/>
      <c r="S1199" s="74"/>
      <c r="T1199" s="74"/>
      <c r="U1199" s="74"/>
      <c r="V1199" s="74"/>
      <c r="W1199" s="74"/>
      <c r="X1199" s="74"/>
      <c r="Y1199" s="74"/>
      <c r="Z1199" s="74"/>
      <c r="AA1199" s="74"/>
      <c r="AB1199" s="74"/>
      <c r="AC1199" s="74"/>
      <c r="AD1199" s="74"/>
      <c r="AE1199" s="74"/>
      <c r="AF1199" s="74"/>
      <c r="AG1199" s="74"/>
      <c r="AH1199" s="74"/>
      <c r="AI1199" s="74"/>
      <c r="AJ1199" s="74"/>
      <c r="AK1199" s="74"/>
      <c r="AL1199" s="38"/>
      <c r="AM1199" s="38"/>
      <c r="AN1199" s="75"/>
      <c r="AO1199" s="75"/>
      <c r="AP1199" s="38"/>
      <c r="AQ1199" s="38"/>
      <c r="AR1199" s="38"/>
      <c r="AS1199" s="38"/>
      <c r="AT1199" s="38"/>
      <c r="AU1199" s="38"/>
      <c r="AV1199" s="38"/>
      <c r="AW1199" s="38"/>
      <c r="AX1199" s="38"/>
      <c r="AY1199" s="38"/>
      <c r="AZ1199" s="38"/>
      <c r="BA1199" s="38"/>
      <c r="BB1199" s="38"/>
      <c r="BC1199" s="38"/>
      <c r="BD1199" s="38"/>
      <c r="BE1199" s="38"/>
      <c r="BF1199" s="38"/>
      <c r="BG1199" s="38"/>
      <c r="BH1199" s="38"/>
      <c r="BI1199" s="38"/>
      <c r="BJ1199" s="38"/>
      <c r="BK1199" s="38"/>
      <c r="BL1199" s="38"/>
      <c r="BM1199" s="38"/>
      <c r="BN1199" s="38"/>
      <c r="BO1199" s="38"/>
      <c r="BP1199" s="38"/>
      <c r="BQ1199" s="38"/>
      <c r="BR1199" s="38"/>
      <c r="BS1199" s="38"/>
      <c r="BT1199" s="38"/>
      <c r="BU1199" s="38"/>
      <c r="BV1199" s="38"/>
    </row>
    <row r="1200" ht="14.25" customHeight="1">
      <c r="A1200" s="74"/>
      <c r="B1200" s="38"/>
      <c r="C1200" s="38"/>
      <c r="D1200" s="38"/>
      <c r="E1200" s="74"/>
      <c r="F1200" s="74"/>
      <c r="G1200" s="74"/>
      <c r="H1200" s="74"/>
      <c r="I1200" s="74"/>
      <c r="J1200" s="74"/>
      <c r="K1200" s="74"/>
      <c r="L1200" s="74"/>
      <c r="M1200" s="74"/>
      <c r="N1200" s="74"/>
      <c r="O1200" s="74"/>
      <c r="P1200" s="74"/>
      <c r="Q1200" s="74"/>
      <c r="R1200" s="74"/>
      <c r="S1200" s="74"/>
      <c r="T1200" s="74"/>
      <c r="U1200" s="74"/>
      <c r="V1200" s="74"/>
      <c r="W1200" s="74"/>
      <c r="X1200" s="74"/>
      <c r="Y1200" s="74"/>
      <c r="Z1200" s="74"/>
      <c r="AA1200" s="74"/>
      <c r="AB1200" s="74"/>
      <c r="AC1200" s="74"/>
      <c r="AD1200" s="74"/>
      <c r="AE1200" s="74"/>
      <c r="AF1200" s="74"/>
      <c r="AG1200" s="74"/>
      <c r="AH1200" s="74"/>
      <c r="AI1200" s="74"/>
      <c r="AJ1200" s="74"/>
      <c r="AK1200" s="74"/>
      <c r="AL1200" s="38"/>
      <c r="AM1200" s="38"/>
      <c r="AN1200" s="75"/>
      <c r="AO1200" s="75"/>
      <c r="AP1200" s="38"/>
      <c r="AQ1200" s="38"/>
      <c r="AR1200" s="38"/>
      <c r="AS1200" s="38"/>
      <c r="AT1200" s="38"/>
      <c r="AU1200" s="38"/>
      <c r="AV1200" s="38"/>
      <c r="AW1200" s="38"/>
      <c r="AX1200" s="38"/>
      <c r="AY1200" s="38"/>
      <c r="AZ1200" s="38"/>
      <c r="BA1200" s="38"/>
      <c r="BB1200" s="38"/>
      <c r="BC1200" s="38"/>
      <c r="BD1200" s="38"/>
      <c r="BE1200" s="38"/>
      <c r="BF1200" s="38"/>
      <c r="BG1200" s="38"/>
      <c r="BH1200" s="38"/>
      <c r="BI1200" s="38"/>
      <c r="BJ1200" s="38"/>
      <c r="BK1200" s="38"/>
      <c r="BL1200" s="38"/>
      <c r="BM1200" s="38"/>
      <c r="BN1200" s="38"/>
      <c r="BO1200" s="38"/>
      <c r="BP1200" s="38"/>
      <c r="BQ1200" s="38"/>
      <c r="BR1200" s="38"/>
      <c r="BS1200" s="38"/>
      <c r="BT1200" s="38"/>
      <c r="BU1200" s="38"/>
      <c r="BV1200" s="38"/>
    </row>
    <row r="1201" ht="14.25" customHeight="1">
      <c r="A1201" s="74"/>
      <c r="B1201" s="38"/>
      <c r="C1201" s="38"/>
      <c r="D1201" s="38"/>
      <c r="E1201" s="74"/>
      <c r="F1201" s="74"/>
      <c r="G1201" s="74"/>
      <c r="H1201" s="74"/>
      <c r="I1201" s="74"/>
      <c r="J1201" s="74"/>
      <c r="K1201" s="74"/>
      <c r="L1201" s="74"/>
      <c r="M1201" s="74"/>
      <c r="N1201" s="74"/>
      <c r="O1201" s="74"/>
      <c r="P1201" s="74"/>
      <c r="Q1201" s="74"/>
      <c r="R1201" s="74"/>
      <c r="S1201" s="74"/>
      <c r="T1201" s="74"/>
      <c r="U1201" s="74"/>
      <c r="V1201" s="74"/>
      <c r="W1201" s="74"/>
      <c r="X1201" s="74"/>
      <c r="Y1201" s="74"/>
      <c r="Z1201" s="74"/>
      <c r="AA1201" s="74"/>
      <c r="AB1201" s="74"/>
      <c r="AC1201" s="74"/>
      <c r="AD1201" s="74"/>
      <c r="AE1201" s="74"/>
      <c r="AF1201" s="74"/>
      <c r="AG1201" s="74"/>
      <c r="AH1201" s="74"/>
      <c r="AI1201" s="74"/>
      <c r="AJ1201" s="74"/>
      <c r="AK1201" s="74"/>
      <c r="AL1201" s="38"/>
      <c r="AM1201" s="38"/>
      <c r="AN1201" s="75"/>
      <c r="AO1201" s="75"/>
      <c r="AP1201" s="38"/>
      <c r="AQ1201" s="38"/>
      <c r="AR1201" s="38"/>
      <c r="AS1201" s="38"/>
      <c r="AT1201" s="38"/>
      <c r="AU1201" s="38"/>
      <c r="AV1201" s="38"/>
      <c r="AW1201" s="38"/>
      <c r="AX1201" s="38"/>
      <c r="AY1201" s="38"/>
      <c r="AZ1201" s="38"/>
      <c r="BA1201" s="38"/>
      <c r="BB1201" s="38"/>
      <c r="BC1201" s="38"/>
      <c r="BD1201" s="38"/>
      <c r="BE1201" s="38"/>
      <c r="BF1201" s="38"/>
      <c r="BG1201" s="38"/>
      <c r="BH1201" s="38"/>
      <c r="BI1201" s="38"/>
      <c r="BJ1201" s="38"/>
      <c r="BK1201" s="38"/>
      <c r="BL1201" s="38"/>
      <c r="BM1201" s="38"/>
      <c r="BN1201" s="38"/>
      <c r="BO1201" s="38"/>
      <c r="BP1201" s="38"/>
      <c r="BQ1201" s="38"/>
      <c r="BR1201" s="38"/>
      <c r="BS1201" s="38"/>
      <c r="BT1201" s="38"/>
      <c r="BU1201" s="38"/>
      <c r="BV1201" s="38"/>
    </row>
    <row r="1202" ht="14.25" customHeight="1">
      <c r="A1202" s="74"/>
      <c r="B1202" s="38"/>
      <c r="C1202" s="38"/>
      <c r="D1202" s="38"/>
      <c r="E1202" s="74"/>
      <c r="F1202" s="74"/>
      <c r="G1202" s="74"/>
      <c r="H1202" s="74"/>
      <c r="I1202" s="74"/>
      <c r="J1202" s="74"/>
      <c r="K1202" s="74"/>
      <c r="L1202" s="74"/>
      <c r="M1202" s="74"/>
      <c r="N1202" s="74"/>
      <c r="O1202" s="74"/>
      <c r="P1202" s="74"/>
      <c r="Q1202" s="74"/>
      <c r="R1202" s="74"/>
      <c r="S1202" s="74"/>
      <c r="T1202" s="74"/>
      <c r="U1202" s="74"/>
      <c r="V1202" s="74"/>
      <c r="W1202" s="74"/>
      <c r="X1202" s="74"/>
      <c r="Y1202" s="74"/>
      <c r="Z1202" s="74"/>
      <c r="AA1202" s="74"/>
      <c r="AB1202" s="74"/>
      <c r="AC1202" s="74"/>
      <c r="AD1202" s="74"/>
      <c r="AE1202" s="74"/>
      <c r="AF1202" s="74"/>
      <c r="AG1202" s="74"/>
      <c r="AH1202" s="74"/>
      <c r="AI1202" s="74"/>
      <c r="AJ1202" s="74"/>
      <c r="AK1202" s="74"/>
      <c r="AL1202" s="38"/>
      <c r="AM1202" s="38"/>
      <c r="AN1202" s="75"/>
      <c r="AO1202" s="75"/>
      <c r="AP1202" s="38"/>
      <c r="AQ1202" s="38"/>
      <c r="AR1202" s="38"/>
      <c r="AS1202" s="38"/>
      <c r="AT1202" s="38"/>
      <c r="AU1202" s="38"/>
      <c r="AV1202" s="38"/>
      <c r="AW1202" s="38"/>
      <c r="AX1202" s="38"/>
      <c r="AY1202" s="38"/>
      <c r="AZ1202" s="38"/>
      <c r="BA1202" s="38"/>
      <c r="BB1202" s="38"/>
      <c r="BC1202" s="38"/>
      <c r="BD1202" s="38"/>
      <c r="BE1202" s="38"/>
      <c r="BF1202" s="38"/>
      <c r="BG1202" s="38"/>
      <c r="BH1202" s="38"/>
      <c r="BI1202" s="38"/>
      <c r="BJ1202" s="38"/>
      <c r="BK1202" s="38"/>
      <c r="BL1202" s="38"/>
      <c r="BM1202" s="38"/>
      <c r="BN1202" s="38"/>
      <c r="BO1202" s="38"/>
      <c r="BP1202" s="38"/>
      <c r="BQ1202" s="38"/>
      <c r="BR1202" s="38"/>
      <c r="BS1202" s="38"/>
      <c r="BT1202" s="38"/>
      <c r="BU1202" s="38"/>
      <c r="BV1202" s="38"/>
    </row>
    <row r="1203" ht="14.25" customHeight="1">
      <c r="A1203" s="74"/>
      <c r="B1203" s="38"/>
      <c r="C1203" s="38"/>
      <c r="D1203" s="38"/>
      <c r="E1203" s="74"/>
      <c r="F1203" s="74"/>
      <c r="G1203" s="74"/>
      <c r="H1203" s="74"/>
      <c r="I1203" s="74"/>
      <c r="J1203" s="74"/>
      <c r="K1203" s="74"/>
      <c r="L1203" s="74"/>
      <c r="M1203" s="74"/>
      <c r="N1203" s="74"/>
      <c r="O1203" s="74"/>
      <c r="P1203" s="74"/>
      <c r="Q1203" s="74"/>
      <c r="R1203" s="74"/>
      <c r="S1203" s="74"/>
      <c r="T1203" s="74"/>
      <c r="U1203" s="74"/>
      <c r="V1203" s="74"/>
      <c r="W1203" s="74"/>
      <c r="X1203" s="74"/>
      <c r="Y1203" s="74"/>
      <c r="Z1203" s="74"/>
      <c r="AA1203" s="74"/>
      <c r="AB1203" s="74"/>
      <c r="AC1203" s="74"/>
      <c r="AD1203" s="74"/>
      <c r="AE1203" s="74"/>
      <c r="AF1203" s="74"/>
      <c r="AG1203" s="74"/>
      <c r="AH1203" s="74"/>
      <c r="AI1203" s="74"/>
      <c r="AJ1203" s="74"/>
      <c r="AK1203" s="74"/>
      <c r="AL1203" s="38"/>
      <c r="AM1203" s="38"/>
      <c r="AN1203" s="75"/>
      <c r="AO1203" s="75"/>
      <c r="AP1203" s="38"/>
      <c r="AQ1203" s="38"/>
      <c r="AR1203" s="38"/>
      <c r="AS1203" s="38"/>
      <c r="AT1203" s="38"/>
      <c r="AU1203" s="38"/>
      <c r="AV1203" s="38"/>
      <c r="AW1203" s="38"/>
      <c r="AX1203" s="38"/>
      <c r="AY1203" s="38"/>
      <c r="AZ1203" s="38"/>
      <c r="BA1203" s="38"/>
      <c r="BB1203" s="38"/>
      <c r="BC1203" s="38"/>
      <c r="BD1203" s="38"/>
      <c r="BE1203" s="38"/>
      <c r="BF1203" s="38"/>
      <c r="BG1203" s="38"/>
      <c r="BH1203" s="38"/>
      <c r="BI1203" s="38"/>
      <c r="BJ1203" s="38"/>
      <c r="BK1203" s="38"/>
      <c r="BL1203" s="38"/>
      <c r="BM1203" s="38"/>
      <c r="BN1203" s="38"/>
      <c r="BO1203" s="38"/>
      <c r="BP1203" s="38"/>
      <c r="BQ1203" s="38"/>
      <c r="BR1203" s="38"/>
      <c r="BS1203" s="38"/>
      <c r="BT1203" s="38"/>
      <c r="BU1203" s="38"/>
      <c r="BV1203" s="38"/>
    </row>
    <row r="1204" ht="14.25" customHeight="1">
      <c r="A1204" s="74"/>
      <c r="B1204" s="38"/>
      <c r="C1204" s="38"/>
      <c r="D1204" s="38"/>
      <c r="E1204" s="74"/>
      <c r="F1204" s="74"/>
      <c r="G1204" s="74"/>
      <c r="H1204" s="74"/>
      <c r="I1204" s="74"/>
      <c r="J1204" s="74"/>
      <c r="K1204" s="74"/>
      <c r="L1204" s="74"/>
      <c r="M1204" s="74"/>
      <c r="N1204" s="74"/>
      <c r="O1204" s="74"/>
      <c r="P1204" s="74"/>
      <c r="Q1204" s="74"/>
      <c r="R1204" s="74"/>
      <c r="S1204" s="74"/>
      <c r="T1204" s="74"/>
      <c r="U1204" s="74"/>
      <c r="V1204" s="74"/>
      <c r="W1204" s="74"/>
      <c r="X1204" s="74"/>
      <c r="Y1204" s="74"/>
      <c r="Z1204" s="74"/>
      <c r="AA1204" s="74"/>
      <c r="AB1204" s="74"/>
      <c r="AC1204" s="74"/>
      <c r="AD1204" s="74"/>
      <c r="AE1204" s="74"/>
      <c r="AF1204" s="74"/>
      <c r="AG1204" s="74"/>
      <c r="AH1204" s="74"/>
      <c r="AI1204" s="74"/>
      <c r="AJ1204" s="74"/>
      <c r="AK1204" s="74"/>
      <c r="AL1204" s="38"/>
      <c r="AM1204" s="38"/>
      <c r="AN1204" s="75"/>
      <c r="AO1204" s="75"/>
      <c r="AP1204" s="38"/>
      <c r="AQ1204" s="38"/>
      <c r="AR1204" s="38"/>
      <c r="AS1204" s="38"/>
      <c r="AT1204" s="38"/>
      <c r="AU1204" s="38"/>
      <c r="AV1204" s="38"/>
      <c r="AW1204" s="38"/>
      <c r="AX1204" s="38"/>
      <c r="AY1204" s="38"/>
      <c r="AZ1204" s="38"/>
      <c r="BA1204" s="38"/>
      <c r="BB1204" s="38"/>
      <c r="BC1204" s="38"/>
      <c r="BD1204" s="38"/>
      <c r="BE1204" s="38"/>
      <c r="BF1204" s="38"/>
      <c r="BG1204" s="38"/>
      <c r="BH1204" s="38"/>
      <c r="BI1204" s="38"/>
      <c r="BJ1204" s="38"/>
      <c r="BK1204" s="38"/>
      <c r="BL1204" s="38"/>
      <c r="BM1204" s="38"/>
      <c r="BN1204" s="38"/>
      <c r="BO1204" s="38"/>
      <c r="BP1204" s="38"/>
      <c r="BQ1204" s="38"/>
      <c r="BR1204" s="38"/>
      <c r="BS1204" s="38"/>
      <c r="BT1204" s="38"/>
      <c r="BU1204" s="38"/>
      <c r="BV1204" s="38"/>
    </row>
    <row r="1205" ht="14.25" customHeight="1">
      <c r="A1205" s="74"/>
      <c r="B1205" s="38"/>
      <c r="C1205" s="38"/>
      <c r="D1205" s="38"/>
      <c r="E1205" s="74"/>
      <c r="F1205" s="74"/>
      <c r="G1205" s="74"/>
      <c r="H1205" s="74"/>
      <c r="I1205" s="74"/>
      <c r="J1205" s="74"/>
      <c r="K1205" s="74"/>
      <c r="L1205" s="74"/>
      <c r="M1205" s="74"/>
      <c r="N1205" s="74"/>
      <c r="O1205" s="74"/>
      <c r="P1205" s="74"/>
      <c r="Q1205" s="74"/>
      <c r="R1205" s="74"/>
      <c r="S1205" s="74"/>
      <c r="T1205" s="74"/>
      <c r="U1205" s="74"/>
      <c r="V1205" s="74"/>
      <c r="W1205" s="74"/>
      <c r="X1205" s="74"/>
      <c r="Y1205" s="74"/>
      <c r="Z1205" s="74"/>
      <c r="AA1205" s="74"/>
      <c r="AB1205" s="74"/>
      <c r="AC1205" s="74"/>
      <c r="AD1205" s="74"/>
      <c r="AE1205" s="74"/>
      <c r="AF1205" s="74"/>
      <c r="AG1205" s="74"/>
      <c r="AH1205" s="74"/>
      <c r="AI1205" s="74"/>
      <c r="AJ1205" s="74"/>
      <c r="AK1205" s="74"/>
      <c r="AL1205" s="38"/>
      <c r="AM1205" s="38"/>
      <c r="AN1205" s="75"/>
      <c r="AO1205" s="75"/>
      <c r="AP1205" s="38"/>
      <c r="AQ1205" s="38"/>
      <c r="AR1205" s="38"/>
      <c r="AS1205" s="38"/>
      <c r="AT1205" s="38"/>
      <c r="AU1205" s="38"/>
      <c r="AV1205" s="38"/>
      <c r="AW1205" s="38"/>
      <c r="AX1205" s="38"/>
      <c r="AY1205" s="38"/>
      <c r="AZ1205" s="38"/>
      <c r="BA1205" s="38"/>
      <c r="BB1205" s="38"/>
      <c r="BC1205" s="38"/>
      <c r="BD1205" s="38"/>
      <c r="BE1205" s="38"/>
      <c r="BF1205" s="38"/>
      <c r="BG1205" s="38"/>
      <c r="BH1205" s="38"/>
      <c r="BI1205" s="38"/>
      <c r="BJ1205" s="38"/>
      <c r="BK1205" s="38"/>
      <c r="BL1205" s="38"/>
      <c r="BM1205" s="38"/>
      <c r="BN1205" s="38"/>
      <c r="BO1205" s="38"/>
      <c r="BP1205" s="38"/>
      <c r="BQ1205" s="38"/>
      <c r="BR1205" s="38"/>
      <c r="BS1205" s="38"/>
      <c r="BT1205" s="38"/>
      <c r="BU1205" s="38"/>
      <c r="BV1205" s="38"/>
    </row>
    <row r="1206" ht="14.25" customHeight="1">
      <c r="A1206" s="74"/>
      <c r="B1206" s="38"/>
      <c r="C1206" s="38"/>
      <c r="D1206" s="38"/>
      <c r="E1206" s="74"/>
      <c r="F1206" s="74"/>
      <c r="G1206" s="74"/>
      <c r="H1206" s="74"/>
      <c r="I1206" s="74"/>
      <c r="J1206" s="74"/>
      <c r="K1206" s="74"/>
      <c r="L1206" s="74"/>
      <c r="M1206" s="74"/>
      <c r="N1206" s="74"/>
      <c r="O1206" s="74"/>
      <c r="P1206" s="74"/>
      <c r="Q1206" s="74"/>
      <c r="R1206" s="74"/>
      <c r="S1206" s="74"/>
      <c r="T1206" s="74"/>
      <c r="U1206" s="74"/>
      <c r="V1206" s="74"/>
      <c r="W1206" s="74"/>
      <c r="X1206" s="74"/>
      <c r="Y1206" s="74"/>
      <c r="Z1206" s="74"/>
      <c r="AA1206" s="74"/>
      <c r="AB1206" s="74"/>
      <c r="AC1206" s="74"/>
      <c r="AD1206" s="74"/>
      <c r="AE1206" s="74"/>
      <c r="AF1206" s="74"/>
      <c r="AG1206" s="74"/>
      <c r="AH1206" s="74"/>
      <c r="AI1206" s="74"/>
      <c r="AJ1206" s="74"/>
      <c r="AK1206" s="74"/>
      <c r="AL1206" s="38"/>
      <c r="AM1206" s="38"/>
      <c r="AN1206" s="75"/>
      <c r="AO1206" s="75"/>
      <c r="AP1206" s="38"/>
      <c r="AQ1206" s="38"/>
      <c r="AR1206" s="38"/>
      <c r="AS1206" s="38"/>
      <c r="AT1206" s="38"/>
      <c r="AU1206" s="38"/>
      <c r="AV1206" s="38"/>
      <c r="AW1206" s="38"/>
      <c r="AX1206" s="38"/>
      <c r="AY1206" s="38"/>
      <c r="AZ1206" s="38"/>
      <c r="BA1206" s="38"/>
      <c r="BB1206" s="38"/>
      <c r="BC1206" s="38"/>
      <c r="BD1206" s="38"/>
      <c r="BE1206" s="38"/>
      <c r="BF1206" s="38"/>
      <c r="BG1206" s="38"/>
      <c r="BH1206" s="38"/>
      <c r="BI1206" s="38"/>
      <c r="BJ1206" s="38"/>
      <c r="BK1206" s="38"/>
      <c r="BL1206" s="38"/>
      <c r="BM1206" s="38"/>
      <c r="BN1206" s="38"/>
      <c r="BO1206" s="38"/>
      <c r="BP1206" s="38"/>
      <c r="BQ1206" s="38"/>
      <c r="BR1206" s="38"/>
      <c r="BS1206" s="38"/>
      <c r="BT1206" s="38"/>
      <c r="BU1206" s="38"/>
      <c r="BV1206" s="38"/>
    </row>
    <row r="1207" ht="14.25" customHeight="1">
      <c r="A1207" s="74"/>
      <c r="B1207" s="38"/>
      <c r="C1207" s="38"/>
      <c r="D1207" s="38"/>
      <c r="E1207" s="74"/>
      <c r="F1207" s="74"/>
      <c r="G1207" s="74"/>
      <c r="H1207" s="74"/>
      <c r="I1207" s="74"/>
      <c r="J1207" s="74"/>
      <c r="K1207" s="74"/>
      <c r="L1207" s="74"/>
      <c r="M1207" s="74"/>
      <c r="N1207" s="74"/>
      <c r="O1207" s="74"/>
      <c r="P1207" s="74"/>
      <c r="Q1207" s="74"/>
      <c r="R1207" s="74"/>
      <c r="S1207" s="74"/>
      <c r="T1207" s="74"/>
      <c r="U1207" s="74"/>
      <c r="V1207" s="74"/>
      <c r="W1207" s="74"/>
      <c r="X1207" s="74"/>
      <c r="Y1207" s="74"/>
      <c r="Z1207" s="74"/>
      <c r="AA1207" s="74"/>
      <c r="AB1207" s="74"/>
      <c r="AC1207" s="74"/>
      <c r="AD1207" s="74"/>
      <c r="AE1207" s="74"/>
      <c r="AF1207" s="74"/>
      <c r="AG1207" s="74"/>
      <c r="AH1207" s="74"/>
      <c r="AI1207" s="74"/>
      <c r="AJ1207" s="74"/>
      <c r="AK1207" s="74"/>
      <c r="AL1207" s="38"/>
      <c r="AM1207" s="38"/>
      <c r="AN1207" s="75"/>
      <c r="AO1207" s="75"/>
      <c r="AP1207" s="38"/>
      <c r="AQ1207" s="38"/>
      <c r="AR1207" s="38"/>
      <c r="AS1207" s="38"/>
      <c r="AT1207" s="38"/>
      <c r="AU1207" s="38"/>
      <c r="AV1207" s="38"/>
      <c r="AW1207" s="38"/>
      <c r="AX1207" s="38"/>
      <c r="AY1207" s="38"/>
      <c r="AZ1207" s="38"/>
      <c r="BA1207" s="38"/>
      <c r="BB1207" s="38"/>
      <c r="BC1207" s="38"/>
      <c r="BD1207" s="38"/>
      <c r="BE1207" s="38"/>
      <c r="BF1207" s="38"/>
      <c r="BG1207" s="38"/>
      <c r="BH1207" s="38"/>
      <c r="BI1207" s="38"/>
      <c r="BJ1207" s="38"/>
      <c r="BK1207" s="38"/>
      <c r="BL1207" s="38"/>
      <c r="BM1207" s="38"/>
      <c r="BN1207" s="38"/>
      <c r="BO1207" s="38"/>
      <c r="BP1207" s="38"/>
      <c r="BQ1207" s="38"/>
      <c r="BR1207" s="38"/>
      <c r="BS1207" s="38"/>
      <c r="BT1207" s="38"/>
      <c r="BU1207" s="38"/>
      <c r="BV1207" s="38"/>
    </row>
    <row r="1208" ht="14.25" customHeight="1">
      <c r="A1208" s="74"/>
      <c r="B1208" s="38"/>
      <c r="C1208" s="38"/>
      <c r="D1208" s="38"/>
      <c r="E1208" s="74"/>
      <c r="F1208" s="74"/>
      <c r="G1208" s="74"/>
      <c r="H1208" s="74"/>
      <c r="I1208" s="74"/>
      <c r="J1208" s="74"/>
      <c r="K1208" s="74"/>
      <c r="L1208" s="74"/>
      <c r="M1208" s="74"/>
      <c r="N1208" s="74"/>
      <c r="O1208" s="74"/>
      <c r="P1208" s="74"/>
      <c r="Q1208" s="74"/>
      <c r="R1208" s="74"/>
      <c r="S1208" s="74"/>
      <c r="T1208" s="74"/>
      <c r="U1208" s="74"/>
      <c r="V1208" s="74"/>
      <c r="W1208" s="74"/>
      <c r="X1208" s="74"/>
      <c r="Y1208" s="74"/>
      <c r="Z1208" s="74"/>
      <c r="AA1208" s="74"/>
      <c r="AB1208" s="74"/>
      <c r="AC1208" s="74"/>
      <c r="AD1208" s="74"/>
      <c r="AE1208" s="74"/>
      <c r="AF1208" s="74"/>
      <c r="AG1208" s="74"/>
      <c r="AH1208" s="74"/>
      <c r="AI1208" s="74"/>
      <c r="AJ1208" s="74"/>
      <c r="AK1208" s="74"/>
      <c r="AL1208" s="38"/>
      <c r="AM1208" s="38"/>
      <c r="AN1208" s="75"/>
      <c r="AO1208" s="75"/>
      <c r="AP1208" s="38"/>
      <c r="AQ1208" s="38"/>
      <c r="AR1208" s="38"/>
      <c r="AS1208" s="38"/>
      <c r="AT1208" s="38"/>
      <c r="AU1208" s="38"/>
      <c r="AV1208" s="38"/>
      <c r="AW1208" s="38"/>
      <c r="AX1208" s="38"/>
      <c r="AY1208" s="38"/>
      <c r="AZ1208" s="38"/>
      <c r="BA1208" s="38"/>
      <c r="BB1208" s="38"/>
      <c r="BC1208" s="38"/>
      <c r="BD1208" s="38"/>
      <c r="BE1208" s="38"/>
      <c r="BF1208" s="38"/>
      <c r="BG1208" s="38"/>
      <c r="BH1208" s="38"/>
      <c r="BI1208" s="38"/>
      <c r="BJ1208" s="38"/>
      <c r="BK1208" s="38"/>
      <c r="BL1208" s="38"/>
      <c r="BM1208" s="38"/>
      <c r="BN1208" s="38"/>
      <c r="BO1208" s="38"/>
      <c r="BP1208" s="38"/>
      <c r="BQ1208" s="38"/>
      <c r="BR1208" s="38"/>
      <c r="BS1208" s="38"/>
      <c r="BT1208" s="38"/>
      <c r="BU1208" s="38"/>
      <c r="BV1208" s="38"/>
    </row>
    <row r="1209" ht="14.25" customHeight="1">
      <c r="A1209" s="74"/>
      <c r="B1209" s="38"/>
      <c r="C1209" s="38"/>
      <c r="D1209" s="38"/>
      <c r="E1209" s="74"/>
      <c r="F1209" s="74"/>
      <c r="G1209" s="74"/>
      <c r="H1209" s="74"/>
      <c r="I1209" s="74"/>
      <c r="J1209" s="74"/>
      <c r="K1209" s="74"/>
      <c r="L1209" s="74"/>
      <c r="M1209" s="74"/>
      <c r="N1209" s="74"/>
      <c r="O1209" s="74"/>
      <c r="P1209" s="74"/>
      <c r="Q1209" s="74"/>
      <c r="R1209" s="74"/>
      <c r="S1209" s="74"/>
      <c r="T1209" s="74"/>
      <c r="U1209" s="74"/>
      <c r="V1209" s="74"/>
      <c r="W1209" s="74"/>
      <c r="X1209" s="74"/>
      <c r="Y1209" s="74"/>
      <c r="Z1209" s="74"/>
      <c r="AA1209" s="74"/>
      <c r="AB1209" s="74"/>
      <c r="AC1209" s="74"/>
      <c r="AD1209" s="74"/>
      <c r="AE1209" s="74"/>
      <c r="AF1209" s="74"/>
      <c r="AG1209" s="74"/>
      <c r="AH1209" s="74"/>
      <c r="AI1209" s="74"/>
      <c r="AJ1209" s="74"/>
      <c r="AK1209" s="74"/>
      <c r="AL1209" s="38"/>
      <c r="AM1209" s="38"/>
      <c r="AN1209" s="75"/>
      <c r="AO1209" s="75"/>
      <c r="AP1209" s="38"/>
      <c r="AQ1209" s="38"/>
      <c r="AR1209" s="38"/>
      <c r="AS1209" s="38"/>
      <c r="AT1209" s="38"/>
      <c r="AU1209" s="38"/>
      <c r="AV1209" s="38"/>
      <c r="AW1209" s="38"/>
      <c r="AX1209" s="38"/>
      <c r="AY1209" s="38"/>
      <c r="AZ1209" s="38"/>
      <c r="BA1209" s="38"/>
      <c r="BB1209" s="38"/>
      <c r="BC1209" s="38"/>
      <c r="BD1209" s="38"/>
      <c r="BE1209" s="38"/>
      <c r="BF1209" s="38"/>
      <c r="BG1209" s="38"/>
      <c r="BH1209" s="38"/>
      <c r="BI1209" s="38"/>
      <c r="BJ1209" s="38"/>
      <c r="BK1209" s="38"/>
      <c r="BL1209" s="38"/>
      <c r="BM1209" s="38"/>
      <c r="BN1209" s="38"/>
      <c r="BO1209" s="38"/>
      <c r="BP1209" s="38"/>
      <c r="BQ1209" s="38"/>
      <c r="BR1209" s="38"/>
      <c r="BS1209" s="38"/>
      <c r="BT1209" s="38"/>
      <c r="BU1209" s="38"/>
      <c r="BV1209" s="38"/>
    </row>
    <row r="1210" ht="14.25" customHeight="1">
      <c r="A1210" s="74"/>
      <c r="B1210" s="38"/>
      <c r="C1210" s="38"/>
      <c r="D1210" s="38"/>
      <c r="E1210" s="74"/>
      <c r="F1210" s="74"/>
      <c r="G1210" s="74"/>
      <c r="H1210" s="74"/>
      <c r="I1210" s="74"/>
      <c r="J1210" s="74"/>
      <c r="K1210" s="74"/>
      <c r="L1210" s="74"/>
      <c r="M1210" s="74"/>
      <c r="N1210" s="74"/>
      <c r="O1210" s="74"/>
      <c r="P1210" s="74"/>
      <c r="Q1210" s="74"/>
      <c r="R1210" s="74"/>
      <c r="S1210" s="74"/>
      <c r="T1210" s="74"/>
      <c r="U1210" s="74"/>
      <c r="V1210" s="74"/>
      <c r="W1210" s="74"/>
      <c r="X1210" s="74"/>
      <c r="Y1210" s="74"/>
      <c r="Z1210" s="74"/>
      <c r="AA1210" s="74"/>
      <c r="AB1210" s="74"/>
      <c r="AC1210" s="74"/>
      <c r="AD1210" s="74"/>
      <c r="AE1210" s="74"/>
      <c r="AF1210" s="74"/>
      <c r="AG1210" s="74"/>
      <c r="AH1210" s="74"/>
      <c r="AI1210" s="74"/>
      <c r="AJ1210" s="74"/>
      <c r="AK1210" s="74"/>
      <c r="AL1210" s="38"/>
      <c r="AM1210" s="38"/>
      <c r="AN1210" s="75"/>
      <c r="AO1210" s="75"/>
      <c r="AP1210" s="38"/>
      <c r="AQ1210" s="38"/>
      <c r="AR1210" s="38"/>
      <c r="AS1210" s="38"/>
      <c r="AT1210" s="38"/>
      <c r="AU1210" s="38"/>
      <c r="AV1210" s="38"/>
      <c r="AW1210" s="38"/>
      <c r="AX1210" s="38"/>
      <c r="AY1210" s="38"/>
      <c r="AZ1210" s="38"/>
      <c r="BA1210" s="38"/>
      <c r="BB1210" s="38"/>
      <c r="BC1210" s="38"/>
      <c r="BD1210" s="38"/>
      <c r="BE1210" s="38"/>
      <c r="BF1210" s="38"/>
      <c r="BG1210" s="38"/>
      <c r="BH1210" s="38"/>
      <c r="BI1210" s="38"/>
      <c r="BJ1210" s="38"/>
      <c r="BK1210" s="38"/>
      <c r="BL1210" s="38"/>
      <c r="BM1210" s="38"/>
      <c r="BN1210" s="38"/>
      <c r="BO1210" s="38"/>
      <c r="BP1210" s="38"/>
      <c r="BQ1210" s="38"/>
      <c r="BR1210" s="38"/>
      <c r="BS1210" s="38"/>
      <c r="BT1210" s="38"/>
      <c r="BU1210" s="38"/>
      <c r="BV1210" s="38"/>
    </row>
    <row r="1211" ht="14.25" customHeight="1">
      <c r="A1211" s="74"/>
      <c r="B1211" s="38"/>
      <c r="C1211" s="38"/>
      <c r="D1211" s="38"/>
      <c r="E1211" s="74"/>
      <c r="F1211" s="74"/>
      <c r="G1211" s="74"/>
      <c r="H1211" s="74"/>
      <c r="I1211" s="74"/>
      <c r="J1211" s="74"/>
      <c r="K1211" s="74"/>
      <c r="L1211" s="74"/>
      <c r="M1211" s="74"/>
      <c r="N1211" s="74"/>
      <c r="O1211" s="74"/>
      <c r="P1211" s="74"/>
      <c r="Q1211" s="74"/>
      <c r="R1211" s="74"/>
      <c r="S1211" s="74"/>
      <c r="T1211" s="74"/>
      <c r="U1211" s="74"/>
      <c r="V1211" s="74"/>
      <c r="W1211" s="74"/>
      <c r="X1211" s="74"/>
      <c r="Y1211" s="74"/>
      <c r="Z1211" s="74"/>
      <c r="AA1211" s="74"/>
      <c r="AB1211" s="74"/>
      <c r="AC1211" s="74"/>
      <c r="AD1211" s="74"/>
      <c r="AE1211" s="74"/>
      <c r="AF1211" s="74"/>
      <c r="AG1211" s="74"/>
      <c r="AH1211" s="74"/>
      <c r="AI1211" s="74"/>
      <c r="AJ1211" s="74"/>
      <c r="AK1211" s="74"/>
      <c r="AL1211" s="38"/>
      <c r="AM1211" s="38"/>
      <c r="AN1211" s="75"/>
      <c r="AO1211" s="75"/>
      <c r="AP1211" s="38"/>
      <c r="AQ1211" s="38"/>
      <c r="AR1211" s="38"/>
      <c r="AS1211" s="38"/>
      <c r="AT1211" s="38"/>
      <c r="AU1211" s="38"/>
      <c r="AV1211" s="38"/>
      <c r="AW1211" s="38"/>
      <c r="AX1211" s="38"/>
      <c r="AY1211" s="38"/>
      <c r="AZ1211" s="38"/>
      <c r="BA1211" s="38"/>
      <c r="BB1211" s="38"/>
      <c r="BC1211" s="38"/>
      <c r="BD1211" s="38"/>
      <c r="BE1211" s="38"/>
      <c r="BF1211" s="38"/>
      <c r="BG1211" s="38"/>
      <c r="BH1211" s="38"/>
      <c r="BI1211" s="38"/>
      <c r="BJ1211" s="38"/>
      <c r="BK1211" s="38"/>
      <c r="BL1211" s="38"/>
      <c r="BM1211" s="38"/>
      <c r="BN1211" s="38"/>
      <c r="BO1211" s="38"/>
      <c r="BP1211" s="38"/>
      <c r="BQ1211" s="38"/>
      <c r="BR1211" s="38"/>
      <c r="BS1211" s="38"/>
      <c r="BT1211" s="38"/>
      <c r="BU1211" s="38"/>
      <c r="BV1211" s="38"/>
    </row>
    <row r="1212" ht="14.25" customHeight="1">
      <c r="A1212" s="74"/>
      <c r="B1212" s="38"/>
      <c r="C1212" s="38"/>
      <c r="D1212" s="38"/>
      <c r="E1212" s="74"/>
      <c r="F1212" s="74"/>
      <c r="G1212" s="74"/>
      <c r="H1212" s="74"/>
      <c r="I1212" s="74"/>
      <c r="J1212" s="74"/>
      <c r="K1212" s="74"/>
      <c r="L1212" s="74"/>
      <c r="M1212" s="74"/>
      <c r="N1212" s="74"/>
      <c r="O1212" s="74"/>
      <c r="P1212" s="74"/>
      <c r="Q1212" s="74"/>
      <c r="R1212" s="74"/>
      <c r="S1212" s="74"/>
      <c r="T1212" s="74"/>
      <c r="U1212" s="74"/>
      <c r="V1212" s="74"/>
      <c r="W1212" s="74"/>
      <c r="X1212" s="74"/>
      <c r="Y1212" s="74"/>
      <c r="Z1212" s="74"/>
      <c r="AA1212" s="74"/>
      <c r="AB1212" s="74"/>
      <c r="AC1212" s="74"/>
      <c r="AD1212" s="74"/>
      <c r="AE1212" s="74"/>
      <c r="AF1212" s="74"/>
      <c r="AG1212" s="74"/>
      <c r="AH1212" s="74"/>
      <c r="AI1212" s="74"/>
      <c r="AJ1212" s="74"/>
      <c r="AK1212" s="74"/>
      <c r="AL1212" s="38"/>
      <c r="AM1212" s="38"/>
      <c r="AN1212" s="75"/>
      <c r="AO1212" s="75"/>
      <c r="AP1212" s="38"/>
      <c r="AQ1212" s="38"/>
      <c r="AR1212" s="38"/>
      <c r="AS1212" s="38"/>
      <c r="AT1212" s="38"/>
      <c r="AU1212" s="38"/>
      <c r="AV1212" s="38"/>
      <c r="AW1212" s="38"/>
      <c r="AX1212" s="38"/>
      <c r="AY1212" s="38"/>
      <c r="AZ1212" s="38"/>
      <c r="BA1212" s="38"/>
      <c r="BB1212" s="38"/>
      <c r="BC1212" s="38"/>
      <c r="BD1212" s="38"/>
      <c r="BE1212" s="38"/>
      <c r="BF1212" s="38"/>
      <c r="BG1212" s="38"/>
      <c r="BH1212" s="38"/>
      <c r="BI1212" s="38"/>
      <c r="BJ1212" s="38"/>
      <c r="BK1212" s="38"/>
      <c r="BL1212" s="38"/>
      <c r="BM1212" s="38"/>
      <c r="BN1212" s="38"/>
      <c r="BO1212" s="38"/>
      <c r="BP1212" s="38"/>
      <c r="BQ1212" s="38"/>
      <c r="BR1212" s="38"/>
      <c r="BS1212" s="38"/>
      <c r="BT1212" s="38"/>
      <c r="BU1212" s="38"/>
      <c r="BV1212" s="38"/>
    </row>
    <row r="1213" ht="14.25" customHeight="1">
      <c r="A1213" s="74"/>
      <c r="B1213" s="38"/>
      <c r="C1213" s="38"/>
      <c r="D1213" s="38"/>
      <c r="E1213" s="74"/>
      <c r="F1213" s="74"/>
      <c r="G1213" s="74"/>
      <c r="H1213" s="74"/>
      <c r="I1213" s="74"/>
      <c r="J1213" s="74"/>
      <c r="K1213" s="74"/>
      <c r="L1213" s="74"/>
      <c r="M1213" s="74"/>
      <c r="N1213" s="74"/>
      <c r="O1213" s="74"/>
      <c r="P1213" s="74"/>
      <c r="Q1213" s="74"/>
      <c r="R1213" s="74"/>
      <c r="S1213" s="74"/>
      <c r="T1213" s="74"/>
      <c r="U1213" s="74"/>
      <c r="V1213" s="74"/>
      <c r="W1213" s="74"/>
      <c r="X1213" s="74"/>
      <c r="Y1213" s="74"/>
      <c r="Z1213" s="74"/>
      <c r="AA1213" s="74"/>
      <c r="AB1213" s="74"/>
      <c r="AC1213" s="74"/>
      <c r="AD1213" s="74"/>
      <c r="AE1213" s="74"/>
      <c r="AF1213" s="74"/>
      <c r="AG1213" s="74"/>
      <c r="AH1213" s="74"/>
      <c r="AI1213" s="74"/>
      <c r="AJ1213" s="74"/>
      <c r="AK1213" s="74"/>
      <c r="AL1213" s="38"/>
      <c r="AM1213" s="38"/>
      <c r="AN1213" s="75"/>
      <c r="AO1213" s="75"/>
      <c r="AP1213" s="38"/>
      <c r="AQ1213" s="38"/>
      <c r="AR1213" s="38"/>
      <c r="AS1213" s="38"/>
      <c r="AT1213" s="38"/>
      <c r="AU1213" s="38"/>
      <c r="AV1213" s="38"/>
      <c r="AW1213" s="38"/>
      <c r="AX1213" s="38"/>
      <c r="AY1213" s="38"/>
      <c r="AZ1213" s="38"/>
      <c r="BA1213" s="38"/>
      <c r="BB1213" s="38"/>
      <c r="BC1213" s="38"/>
      <c r="BD1213" s="38"/>
      <c r="BE1213" s="38"/>
      <c r="BF1213" s="38"/>
      <c r="BG1213" s="38"/>
      <c r="BH1213" s="38"/>
      <c r="BI1213" s="38"/>
      <c r="BJ1213" s="38"/>
      <c r="BK1213" s="38"/>
      <c r="BL1213" s="38"/>
      <c r="BM1213" s="38"/>
      <c r="BN1213" s="38"/>
      <c r="BO1213" s="38"/>
      <c r="BP1213" s="38"/>
      <c r="BQ1213" s="38"/>
      <c r="BR1213" s="38"/>
      <c r="BS1213" s="38"/>
      <c r="BT1213" s="38"/>
      <c r="BU1213" s="38"/>
      <c r="BV1213" s="38"/>
    </row>
    <row r="1214" ht="14.25" customHeight="1">
      <c r="A1214" s="74"/>
      <c r="B1214" s="38"/>
      <c r="C1214" s="38"/>
      <c r="D1214" s="38"/>
      <c r="E1214" s="74"/>
      <c r="F1214" s="74"/>
      <c r="G1214" s="74"/>
      <c r="H1214" s="74"/>
      <c r="I1214" s="74"/>
      <c r="J1214" s="74"/>
      <c r="K1214" s="74"/>
      <c r="L1214" s="74"/>
      <c r="M1214" s="74"/>
      <c r="N1214" s="74"/>
      <c r="O1214" s="74"/>
      <c r="P1214" s="74"/>
      <c r="Q1214" s="74"/>
      <c r="R1214" s="74"/>
      <c r="S1214" s="74"/>
      <c r="T1214" s="74"/>
      <c r="U1214" s="74"/>
      <c r="V1214" s="74"/>
      <c r="W1214" s="74"/>
      <c r="X1214" s="74"/>
      <c r="Y1214" s="74"/>
      <c r="Z1214" s="74"/>
      <c r="AA1214" s="74"/>
      <c r="AB1214" s="74"/>
      <c r="AC1214" s="74"/>
      <c r="AD1214" s="74"/>
      <c r="AE1214" s="74"/>
      <c r="AF1214" s="74"/>
      <c r="AG1214" s="74"/>
      <c r="AH1214" s="74"/>
      <c r="AI1214" s="74"/>
      <c r="AJ1214" s="74"/>
      <c r="AK1214" s="74"/>
      <c r="AL1214" s="38"/>
      <c r="AM1214" s="38"/>
      <c r="AN1214" s="75"/>
      <c r="AO1214" s="75"/>
      <c r="AP1214" s="38"/>
      <c r="AQ1214" s="38"/>
      <c r="AR1214" s="38"/>
      <c r="AS1214" s="38"/>
      <c r="AT1214" s="38"/>
      <c r="AU1214" s="38"/>
      <c r="AV1214" s="38"/>
      <c r="AW1214" s="38"/>
      <c r="AX1214" s="38"/>
      <c r="AY1214" s="38"/>
      <c r="AZ1214" s="38"/>
      <c r="BA1214" s="38"/>
      <c r="BB1214" s="38"/>
      <c r="BC1214" s="38"/>
      <c r="BD1214" s="38"/>
      <c r="BE1214" s="38"/>
      <c r="BF1214" s="38"/>
      <c r="BG1214" s="38"/>
      <c r="BH1214" s="38"/>
      <c r="BI1214" s="38"/>
      <c r="BJ1214" s="38"/>
      <c r="BK1214" s="38"/>
      <c r="BL1214" s="38"/>
      <c r="BM1214" s="38"/>
      <c r="BN1214" s="38"/>
      <c r="BO1214" s="38"/>
      <c r="BP1214" s="38"/>
      <c r="BQ1214" s="38"/>
      <c r="BR1214" s="38"/>
      <c r="BS1214" s="38"/>
      <c r="BT1214" s="38"/>
      <c r="BU1214" s="38"/>
      <c r="BV1214" s="38"/>
    </row>
    <row r="1215" ht="14.25" customHeight="1">
      <c r="A1215" s="74"/>
      <c r="B1215" s="38"/>
      <c r="C1215" s="38"/>
      <c r="D1215" s="38"/>
      <c r="E1215" s="74"/>
      <c r="F1215" s="74"/>
      <c r="G1215" s="74"/>
      <c r="H1215" s="74"/>
      <c r="I1215" s="74"/>
      <c r="J1215" s="74"/>
      <c r="K1215" s="74"/>
      <c r="L1215" s="74"/>
      <c r="M1215" s="74"/>
      <c r="N1215" s="74"/>
      <c r="O1215" s="74"/>
      <c r="P1215" s="74"/>
      <c r="Q1215" s="74"/>
      <c r="R1215" s="74"/>
      <c r="S1215" s="74"/>
      <c r="T1215" s="74"/>
      <c r="U1215" s="74"/>
      <c r="V1215" s="74"/>
      <c r="W1215" s="74"/>
      <c r="X1215" s="74"/>
      <c r="Y1215" s="74"/>
      <c r="Z1215" s="74"/>
      <c r="AA1215" s="74"/>
      <c r="AB1215" s="74"/>
      <c r="AC1215" s="74"/>
      <c r="AD1215" s="74"/>
      <c r="AE1215" s="74"/>
      <c r="AF1215" s="74"/>
      <c r="AG1215" s="74"/>
      <c r="AH1215" s="74"/>
      <c r="AI1215" s="74"/>
      <c r="AJ1215" s="74"/>
      <c r="AK1215" s="74"/>
      <c r="AL1215" s="38"/>
      <c r="AM1215" s="38"/>
      <c r="AN1215" s="75"/>
      <c r="AO1215" s="75"/>
      <c r="AP1215" s="38"/>
      <c r="AQ1215" s="38"/>
      <c r="AR1215" s="38"/>
      <c r="AS1215" s="38"/>
      <c r="AT1215" s="38"/>
      <c r="AU1215" s="38"/>
      <c r="AV1215" s="38"/>
      <c r="AW1215" s="38"/>
      <c r="AX1215" s="38"/>
      <c r="AY1215" s="38"/>
      <c r="AZ1215" s="38"/>
      <c r="BA1215" s="38"/>
      <c r="BB1215" s="38"/>
      <c r="BC1215" s="38"/>
      <c r="BD1215" s="38"/>
      <c r="BE1215" s="38"/>
      <c r="BF1215" s="38"/>
      <c r="BG1215" s="38"/>
      <c r="BH1215" s="38"/>
      <c r="BI1215" s="38"/>
      <c r="BJ1215" s="38"/>
      <c r="BK1215" s="38"/>
      <c r="BL1215" s="38"/>
      <c r="BM1215" s="38"/>
      <c r="BN1215" s="38"/>
      <c r="BO1215" s="38"/>
      <c r="BP1215" s="38"/>
      <c r="BQ1215" s="38"/>
      <c r="BR1215" s="38"/>
      <c r="BS1215" s="38"/>
      <c r="BT1215" s="38"/>
      <c r="BU1215" s="38"/>
      <c r="BV1215" s="38"/>
    </row>
    <row r="1216" ht="14.25" customHeight="1">
      <c r="A1216" s="74"/>
      <c r="B1216" s="38"/>
      <c r="C1216" s="38"/>
      <c r="D1216" s="38"/>
      <c r="E1216" s="74"/>
      <c r="F1216" s="74"/>
      <c r="G1216" s="74"/>
      <c r="H1216" s="74"/>
      <c r="I1216" s="74"/>
      <c r="J1216" s="74"/>
      <c r="K1216" s="74"/>
      <c r="L1216" s="74"/>
      <c r="M1216" s="74"/>
      <c r="N1216" s="74"/>
      <c r="O1216" s="74"/>
      <c r="P1216" s="74"/>
      <c r="Q1216" s="74"/>
      <c r="R1216" s="74"/>
      <c r="S1216" s="74"/>
      <c r="T1216" s="74"/>
      <c r="U1216" s="74"/>
      <c r="V1216" s="74"/>
      <c r="W1216" s="74"/>
      <c r="X1216" s="74"/>
      <c r="Y1216" s="74"/>
      <c r="Z1216" s="74"/>
      <c r="AA1216" s="74"/>
      <c r="AB1216" s="74"/>
      <c r="AC1216" s="74"/>
      <c r="AD1216" s="74"/>
      <c r="AE1216" s="74"/>
      <c r="AF1216" s="74"/>
      <c r="AG1216" s="74"/>
      <c r="AH1216" s="74"/>
      <c r="AI1216" s="74"/>
      <c r="AJ1216" s="74"/>
      <c r="AK1216" s="74"/>
      <c r="AL1216" s="38"/>
      <c r="AM1216" s="38"/>
      <c r="AN1216" s="75"/>
      <c r="AO1216" s="75"/>
      <c r="AP1216" s="38"/>
      <c r="AQ1216" s="38"/>
      <c r="AR1216" s="38"/>
      <c r="AS1216" s="38"/>
      <c r="AT1216" s="38"/>
      <c r="AU1216" s="38"/>
      <c r="AV1216" s="38"/>
      <c r="AW1216" s="38"/>
      <c r="AX1216" s="38"/>
      <c r="AY1216" s="38"/>
      <c r="AZ1216" s="38"/>
      <c r="BA1216" s="38"/>
      <c r="BB1216" s="38"/>
      <c r="BC1216" s="38"/>
      <c r="BD1216" s="38"/>
      <c r="BE1216" s="38"/>
      <c r="BF1216" s="38"/>
      <c r="BG1216" s="38"/>
      <c r="BH1216" s="38"/>
      <c r="BI1216" s="38"/>
      <c r="BJ1216" s="38"/>
      <c r="BK1216" s="38"/>
      <c r="BL1216" s="38"/>
      <c r="BM1216" s="38"/>
      <c r="BN1216" s="38"/>
      <c r="BO1216" s="38"/>
      <c r="BP1216" s="38"/>
      <c r="BQ1216" s="38"/>
      <c r="BR1216" s="38"/>
      <c r="BS1216" s="38"/>
      <c r="BT1216" s="38"/>
      <c r="BU1216" s="38"/>
      <c r="BV1216" s="38"/>
    </row>
    <row r="1217" ht="14.25" customHeight="1">
      <c r="A1217" s="74"/>
      <c r="B1217" s="38"/>
      <c r="C1217" s="38"/>
      <c r="D1217" s="38"/>
      <c r="E1217" s="74"/>
      <c r="F1217" s="74"/>
      <c r="G1217" s="74"/>
      <c r="H1217" s="74"/>
      <c r="I1217" s="74"/>
      <c r="J1217" s="74"/>
      <c r="K1217" s="74"/>
      <c r="L1217" s="74"/>
      <c r="M1217" s="74"/>
      <c r="N1217" s="74"/>
      <c r="O1217" s="74"/>
      <c r="P1217" s="74"/>
      <c r="Q1217" s="74"/>
      <c r="R1217" s="74"/>
      <c r="S1217" s="74"/>
      <c r="T1217" s="74"/>
      <c r="U1217" s="74"/>
      <c r="V1217" s="74"/>
      <c r="W1217" s="74"/>
      <c r="X1217" s="74"/>
      <c r="Y1217" s="74"/>
      <c r="Z1217" s="74"/>
      <c r="AA1217" s="74"/>
      <c r="AB1217" s="74"/>
      <c r="AC1217" s="74"/>
      <c r="AD1217" s="74"/>
      <c r="AE1217" s="74"/>
      <c r="AF1217" s="74"/>
      <c r="AG1217" s="74"/>
      <c r="AH1217" s="74"/>
      <c r="AI1217" s="74"/>
      <c r="AJ1217" s="74"/>
      <c r="AK1217" s="74"/>
      <c r="AL1217" s="38"/>
      <c r="AM1217" s="38"/>
      <c r="AN1217" s="75"/>
      <c r="AO1217" s="75"/>
      <c r="AP1217" s="38"/>
      <c r="AQ1217" s="38"/>
      <c r="AR1217" s="38"/>
      <c r="AS1217" s="38"/>
      <c r="AT1217" s="38"/>
      <c r="AU1217" s="38"/>
      <c r="AV1217" s="38"/>
      <c r="AW1217" s="38"/>
      <c r="AX1217" s="38"/>
      <c r="AY1217" s="38"/>
      <c r="AZ1217" s="38"/>
      <c r="BA1217" s="38"/>
      <c r="BB1217" s="38"/>
      <c r="BC1217" s="38"/>
      <c r="BD1217" s="38"/>
      <c r="BE1217" s="38"/>
      <c r="BF1217" s="38"/>
      <c r="BG1217" s="38"/>
      <c r="BH1217" s="38"/>
      <c r="BI1217" s="38"/>
      <c r="BJ1217" s="38"/>
      <c r="BK1217" s="38"/>
      <c r="BL1217" s="38"/>
      <c r="BM1217" s="38"/>
      <c r="BN1217" s="38"/>
      <c r="BO1217" s="38"/>
      <c r="BP1217" s="38"/>
      <c r="BQ1217" s="38"/>
      <c r="BR1217" s="38"/>
      <c r="BS1217" s="38"/>
      <c r="BT1217" s="38"/>
      <c r="BU1217" s="38"/>
      <c r="BV1217" s="38"/>
    </row>
    <row r="1218" ht="14.25" customHeight="1">
      <c r="A1218" s="74"/>
      <c r="B1218" s="38"/>
      <c r="C1218" s="38"/>
      <c r="D1218" s="38"/>
      <c r="E1218" s="74"/>
      <c r="F1218" s="74"/>
      <c r="G1218" s="74"/>
      <c r="H1218" s="74"/>
      <c r="I1218" s="74"/>
      <c r="J1218" s="74"/>
      <c r="K1218" s="74"/>
      <c r="L1218" s="74"/>
      <c r="M1218" s="74"/>
      <c r="N1218" s="74"/>
      <c r="O1218" s="74"/>
      <c r="P1218" s="74"/>
      <c r="Q1218" s="74"/>
      <c r="R1218" s="74"/>
      <c r="S1218" s="74"/>
      <c r="T1218" s="74"/>
      <c r="U1218" s="74"/>
      <c r="V1218" s="74"/>
      <c r="W1218" s="74"/>
      <c r="X1218" s="74"/>
      <c r="Y1218" s="74"/>
      <c r="Z1218" s="74"/>
      <c r="AA1218" s="74"/>
      <c r="AB1218" s="74"/>
      <c r="AC1218" s="74"/>
      <c r="AD1218" s="74"/>
      <c r="AE1218" s="74"/>
      <c r="AF1218" s="74"/>
      <c r="AG1218" s="74"/>
      <c r="AH1218" s="74"/>
      <c r="AI1218" s="74"/>
      <c r="AJ1218" s="74"/>
      <c r="AK1218" s="74"/>
      <c r="AL1218" s="38"/>
      <c r="AM1218" s="38"/>
      <c r="AN1218" s="75"/>
      <c r="AO1218" s="75"/>
      <c r="AP1218" s="38"/>
      <c r="AQ1218" s="38"/>
      <c r="AR1218" s="38"/>
      <c r="AS1218" s="38"/>
      <c r="AT1218" s="38"/>
      <c r="AU1218" s="38"/>
      <c r="AV1218" s="38"/>
      <c r="AW1218" s="38"/>
      <c r="AX1218" s="38"/>
      <c r="AY1218" s="38"/>
      <c r="AZ1218" s="38"/>
      <c r="BA1218" s="38"/>
      <c r="BB1218" s="38"/>
      <c r="BC1218" s="38"/>
      <c r="BD1218" s="38"/>
      <c r="BE1218" s="38"/>
      <c r="BF1218" s="38"/>
      <c r="BG1218" s="38"/>
      <c r="BH1218" s="38"/>
      <c r="BI1218" s="38"/>
      <c r="BJ1218" s="38"/>
      <c r="BK1218" s="38"/>
      <c r="BL1218" s="38"/>
      <c r="BM1218" s="38"/>
      <c r="BN1218" s="38"/>
      <c r="BO1218" s="38"/>
      <c r="BP1218" s="38"/>
      <c r="BQ1218" s="38"/>
      <c r="BR1218" s="38"/>
      <c r="BS1218" s="38"/>
      <c r="BT1218" s="38"/>
      <c r="BU1218" s="38"/>
      <c r="BV1218" s="38"/>
    </row>
    <row r="1219" ht="14.25" customHeight="1">
      <c r="A1219" s="74"/>
      <c r="B1219" s="38"/>
      <c r="C1219" s="38"/>
      <c r="D1219" s="38"/>
      <c r="E1219" s="74"/>
      <c r="F1219" s="74"/>
      <c r="G1219" s="74"/>
      <c r="H1219" s="74"/>
      <c r="I1219" s="74"/>
      <c r="J1219" s="74"/>
      <c r="K1219" s="74"/>
      <c r="L1219" s="74"/>
      <c r="M1219" s="74"/>
      <c r="N1219" s="74"/>
      <c r="O1219" s="74"/>
      <c r="P1219" s="74"/>
      <c r="Q1219" s="74"/>
      <c r="R1219" s="74"/>
      <c r="S1219" s="74"/>
      <c r="T1219" s="74"/>
      <c r="U1219" s="74"/>
      <c r="V1219" s="74"/>
      <c r="W1219" s="74"/>
      <c r="X1219" s="74"/>
      <c r="Y1219" s="74"/>
      <c r="Z1219" s="74"/>
      <c r="AA1219" s="74"/>
      <c r="AB1219" s="74"/>
      <c r="AC1219" s="74"/>
      <c r="AD1219" s="74"/>
      <c r="AE1219" s="74"/>
      <c r="AF1219" s="74"/>
      <c r="AG1219" s="74"/>
      <c r="AH1219" s="74"/>
      <c r="AI1219" s="74"/>
      <c r="AJ1219" s="74"/>
      <c r="AK1219" s="74"/>
      <c r="AL1219" s="38"/>
      <c r="AM1219" s="38"/>
      <c r="AN1219" s="75"/>
      <c r="AO1219" s="75"/>
      <c r="AP1219" s="38"/>
      <c r="AQ1219" s="38"/>
      <c r="AR1219" s="38"/>
      <c r="AS1219" s="38"/>
      <c r="AT1219" s="38"/>
      <c r="AU1219" s="38"/>
      <c r="AV1219" s="38"/>
      <c r="AW1219" s="38"/>
      <c r="AX1219" s="38"/>
      <c r="AY1219" s="38"/>
      <c r="AZ1219" s="38"/>
      <c r="BA1219" s="38"/>
      <c r="BB1219" s="38"/>
      <c r="BC1219" s="38"/>
      <c r="BD1219" s="38"/>
      <c r="BE1219" s="38"/>
      <c r="BF1219" s="38"/>
      <c r="BG1219" s="38"/>
      <c r="BH1219" s="38"/>
      <c r="BI1219" s="38"/>
      <c r="BJ1219" s="38"/>
      <c r="BK1219" s="38"/>
      <c r="BL1219" s="38"/>
      <c r="BM1219" s="38"/>
      <c r="BN1219" s="38"/>
      <c r="BO1219" s="38"/>
      <c r="BP1219" s="38"/>
      <c r="BQ1219" s="38"/>
      <c r="BR1219" s="38"/>
      <c r="BS1219" s="38"/>
      <c r="BT1219" s="38"/>
      <c r="BU1219" s="38"/>
      <c r="BV1219" s="38"/>
    </row>
    <row r="1220" ht="14.25" customHeight="1">
      <c r="A1220" s="74"/>
      <c r="B1220" s="38"/>
      <c r="C1220" s="38"/>
      <c r="D1220" s="38"/>
      <c r="E1220" s="74"/>
      <c r="F1220" s="74"/>
      <c r="G1220" s="74"/>
      <c r="H1220" s="74"/>
      <c r="I1220" s="74"/>
      <c r="J1220" s="74"/>
      <c r="K1220" s="74"/>
      <c r="L1220" s="74"/>
      <c r="M1220" s="74"/>
      <c r="N1220" s="74"/>
      <c r="O1220" s="74"/>
      <c r="P1220" s="74"/>
      <c r="Q1220" s="74"/>
      <c r="R1220" s="74"/>
      <c r="S1220" s="74"/>
      <c r="T1220" s="74"/>
      <c r="U1220" s="74"/>
      <c r="V1220" s="74"/>
      <c r="W1220" s="74"/>
      <c r="X1220" s="74"/>
      <c r="Y1220" s="74"/>
      <c r="Z1220" s="74"/>
      <c r="AA1220" s="74"/>
      <c r="AB1220" s="74"/>
      <c r="AC1220" s="74"/>
      <c r="AD1220" s="74"/>
      <c r="AE1220" s="74"/>
      <c r="AF1220" s="74"/>
      <c r="AG1220" s="74"/>
      <c r="AH1220" s="74"/>
      <c r="AI1220" s="74"/>
      <c r="AJ1220" s="74"/>
      <c r="AK1220" s="74"/>
      <c r="AL1220" s="38"/>
      <c r="AM1220" s="38"/>
      <c r="AN1220" s="75"/>
      <c r="AO1220" s="75"/>
      <c r="AP1220" s="38"/>
      <c r="AQ1220" s="38"/>
      <c r="AR1220" s="38"/>
      <c r="AS1220" s="38"/>
      <c r="AT1220" s="38"/>
      <c r="AU1220" s="38"/>
      <c r="AV1220" s="38"/>
      <c r="AW1220" s="38"/>
      <c r="AX1220" s="38"/>
      <c r="AY1220" s="38"/>
      <c r="AZ1220" s="38"/>
      <c r="BA1220" s="38"/>
      <c r="BB1220" s="38"/>
      <c r="BC1220" s="38"/>
      <c r="BD1220" s="38"/>
      <c r="BE1220" s="38"/>
      <c r="BF1220" s="38"/>
      <c r="BG1220" s="38"/>
      <c r="BH1220" s="38"/>
      <c r="BI1220" s="38"/>
      <c r="BJ1220" s="38"/>
      <c r="BK1220" s="38"/>
      <c r="BL1220" s="38"/>
      <c r="BM1220" s="38"/>
      <c r="BN1220" s="38"/>
      <c r="BO1220" s="38"/>
      <c r="BP1220" s="38"/>
      <c r="BQ1220" s="38"/>
      <c r="BR1220" s="38"/>
      <c r="BS1220" s="38"/>
      <c r="BT1220" s="38"/>
      <c r="BU1220" s="38"/>
      <c r="BV1220" s="38"/>
    </row>
    <row r="1221" ht="14.25" customHeight="1">
      <c r="A1221" s="74"/>
      <c r="B1221" s="38"/>
      <c r="C1221" s="38"/>
      <c r="D1221" s="38"/>
      <c r="E1221" s="74"/>
      <c r="F1221" s="74"/>
      <c r="G1221" s="74"/>
      <c r="H1221" s="74"/>
      <c r="I1221" s="74"/>
      <c r="J1221" s="74"/>
      <c r="K1221" s="74"/>
      <c r="L1221" s="74"/>
      <c r="M1221" s="74"/>
      <c r="N1221" s="74"/>
      <c r="O1221" s="74"/>
      <c r="P1221" s="74"/>
      <c r="Q1221" s="74"/>
      <c r="R1221" s="74"/>
      <c r="S1221" s="74"/>
      <c r="T1221" s="74"/>
      <c r="U1221" s="74"/>
      <c r="V1221" s="74"/>
      <c r="W1221" s="74"/>
      <c r="X1221" s="74"/>
      <c r="Y1221" s="74"/>
      <c r="Z1221" s="74"/>
      <c r="AA1221" s="74"/>
      <c r="AB1221" s="74"/>
      <c r="AC1221" s="74"/>
      <c r="AD1221" s="74"/>
      <c r="AE1221" s="74"/>
      <c r="AF1221" s="74"/>
      <c r="AG1221" s="74"/>
      <c r="AH1221" s="74"/>
      <c r="AI1221" s="74"/>
      <c r="AJ1221" s="74"/>
      <c r="AK1221" s="74"/>
      <c r="AL1221" s="38"/>
      <c r="AM1221" s="38"/>
      <c r="AN1221" s="75"/>
      <c r="AO1221" s="75"/>
      <c r="AP1221" s="38"/>
      <c r="AQ1221" s="38"/>
      <c r="AR1221" s="38"/>
      <c r="AS1221" s="38"/>
      <c r="AT1221" s="38"/>
      <c r="AU1221" s="38"/>
      <c r="AV1221" s="38"/>
      <c r="AW1221" s="38"/>
      <c r="AX1221" s="38"/>
      <c r="AY1221" s="38"/>
      <c r="AZ1221" s="38"/>
      <c r="BA1221" s="38"/>
      <c r="BB1221" s="38"/>
      <c r="BC1221" s="38"/>
      <c r="BD1221" s="38"/>
      <c r="BE1221" s="38"/>
      <c r="BF1221" s="38"/>
      <c r="BG1221" s="38"/>
      <c r="BH1221" s="38"/>
      <c r="BI1221" s="38"/>
      <c r="BJ1221" s="38"/>
      <c r="BK1221" s="38"/>
      <c r="BL1221" s="38"/>
      <c r="BM1221" s="38"/>
      <c r="BN1221" s="38"/>
      <c r="BO1221" s="38"/>
      <c r="BP1221" s="38"/>
      <c r="BQ1221" s="38"/>
      <c r="BR1221" s="38"/>
      <c r="BS1221" s="38"/>
      <c r="BT1221" s="38"/>
      <c r="BU1221" s="38"/>
      <c r="BV1221" s="38"/>
    </row>
    <row r="1222" ht="14.25" customHeight="1">
      <c r="A1222" s="74"/>
      <c r="B1222" s="38"/>
      <c r="C1222" s="38"/>
      <c r="D1222" s="38"/>
      <c r="E1222" s="74"/>
      <c r="F1222" s="74"/>
      <c r="G1222" s="74"/>
      <c r="H1222" s="74"/>
      <c r="I1222" s="74"/>
      <c r="J1222" s="74"/>
      <c r="K1222" s="74"/>
      <c r="L1222" s="74"/>
      <c r="M1222" s="74"/>
      <c r="N1222" s="74"/>
      <c r="O1222" s="74"/>
      <c r="P1222" s="74"/>
      <c r="Q1222" s="74"/>
      <c r="R1222" s="74"/>
      <c r="S1222" s="74"/>
      <c r="T1222" s="74"/>
      <c r="U1222" s="74"/>
      <c r="V1222" s="74"/>
      <c r="W1222" s="74"/>
      <c r="X1222" s="74"/>
      <c r="Y1222" s="74"/>
      <c r="Z1222" s="74"/>
      <c r="AA1222" s="74"/>
      <c r="AB1222" s="74"/>
      <c r="AC1222" s="74"/>
      <c r="AD1222" s="74"/>
      <c r="AE1222" s="74"/>
      <c r="AF1222" s="74"/>
      <c r="AG1222" s="74"/>
      <c r="AH1222" s="74"/>
      <c r="AI1222" s="74"/>
      <c r="AJ1222" s="74"/>
      <c r="AK1222" s="74"/>
      <c r="AL1222" s="38"/>
      <c r="AM1222" s="38"/>
      <c r="AN1222" s="75"/>
      <c r="AO1222" s="75"/>
      <c r="AP1222" s="38"/>
      <c r="AQ1222" s="38"/>
      <c r="AR1222" s="38"/>
      <c r="AS1222" s="38"/>
      <c r="AT1222" s="38"/>
      <c r="AU1222" s="38"/>
      <c r="AV1222" s="38"/>
      <c r="AW1222" s="38"/>
      <c r="AX1222" s="38"/>
      <c r="AY1222" s="38"/>
      <c r="AZ1222" s="38"/>
      <c r="BA1222" s="38"/>
      <c r="BB1222" s="38"/>
      <c r="BC1222" s="38"/>
      <c r="BD1222" s="38"/>
      <c r="BE1222" s="38"/>
      <c r="BF1222" s="38"/>
      <c r="BG1222" s="38"/>
      <c r="BH1222" s="38"/>
      <c r="BI1222" s="38"/>
      <c r="BJ1222" s="38"/>
      <c r="BK1222" s="38"/>
      <c r="BL1222" s="38"/>
      <c r="BM1222" s="38"/>
      <c r="BN1222" s="38"/>
      <c r="BO1222" s="38"/>
      <c r="BP1222" s="38"/>
      <c r="BQ1222" s="38"/>
      <c r="BR1222" s="38"/>
      <c r="BS1222" s="38"/>
      <c r="BT1222" s="38"/>
      <c r="BU1222" s="38"/>
      <c r="BV1222" s="38"/>
    </row>
    <row r="1223" ht="14.25" customHeight="1">
      <c r="A1223" s="74"/>
      <c r="B1223" s="38"/>
      <c r="C1223" s="38"/>
      <c r="D1223" s="38"/>
      <c r="E1223" s="74"/>
      <c r="F1223" s="74"/>
      <c r="G1223" s="74"/>
      <c r="H1223" s="74"/>
      <c r="I1223" s="74"/>
      <c r="J1223" s="74"/>
      <c r="K1223" s="74"/>
      <c r="L1223" s="74"/>
      <c r="M1223" s="74"/>
      <c r="N1223" s="74"/>
      <c r="O1223" s="74"/>
      <c r="P1223" s="74"/>
      <c r="Q1223" s="74"/>
      <c r="R1223" s="74"/>
      <c r="S1223" s="74"/>
      <c r="T1223" s="74"/>
      <c r="U1223" s="74"/>
      <c r="V1223" s="74"/>
      <c r="W1223" s="74"/>
      <c r="X1223" s="74"/>
      <c r="Y1223" s="74"/>
      <c r="Z1223" s="74"/>
      <c r="AA1223" s="74"/>
      <c r="AB1223" s="74"/>
      <c r="AC1223" s="74"/>
      <c r="AD1223" s="74"/>
      <c r="AE1223" s="74"/>
      <c r="AF1223" s="74"/>
      <c r="AG1223" s="74"/>
      <c r="AH1223" s="74"/>
      <c r="AI1223" s="74"/>
      <c r="AJ1223" s="74"/>
      <c r="AK1223" s="74"/>
      <c r="AL1223" s="38"/>
      <c r="AM1223" s="38"/>
      <c r="AN1223" s="75"/>
      <c r="AO1223" s="75"/>
      <c r="AP1223" s="38"/>
      <c r="AQ1223" s="38"/>
      <c r="AR1223" s="38"/>
      <c r="AS1223" s="38"/>
      <c r="AT1223" s="38"/>
      <c r="AU1223" s="38"/>
      <c r="AV1223" s="38"/>
      <c r="AW1223" s="38"/>
      <c r="AX1223" s="38"/>
      <c r="AY1223" s="38"/>
      <c r="AZ1223" s="38"/>
      <c r="BA1223" s="38"/>
      <c r="BB1223" s="38"/>
      <c r="BC1223" s="38"/>
      <c r="BD1223" s="38"/>
      <c r="BE1223" s="38"/>
      <c r="BF1223" s="38"/>
      <c r="BG1223" s="38"/>
      <c r="BH1223" s="38"/>
      <c r="BI1223" s="38"/>
      <c r="BJ1223" s="38"/>
      <c r="BK1223" s="38"/>
      <c r="BL1223" s="38"/>
      <c r="BM1223" s="38"/>
      <c r="BN1223" s="38"/>
      <c r="BO1223" s="38"/>
      <c r="BP1223" s="38"/>
      <c r="BQ1223" s="38"/>
      <c r="BR1223" s="38"/>
      <c r="BS1223" s="38"/>
      <c r="BT1223" s="38"/>
      <c r="BU1223" s="38"/>
      <c r="BV1223" s="38"/>
    </row>
    <row r="1224" ht="14.25" customHeight="1">
      <c r="A1224" s="74"/>
      <c r="B1224" s="38"/>
      <c r="C1224" s="38"/>
      <c r="D1224" s="38"/>
      <c r="E1224" s="74"/>
      <c r="F1224" s="74"/>
      <c r="G1224" s="74"/>
      <c r="H1224" s="74"/>
      <c r="I1224" s="74"/>
      <c r="J1224" s="74"/>
      <c r="K1224" s="74"/>
      <c r="L1224" s="74"/>
      <c r="M1224" s="74"/>
      <c r="N1224" s="74"/>
      <c r="O1224" s="74"/>
      <c r="P1224" s="74"/>
      <c r="Q1224" s="74"/>
      <c r="R1224" s="74"/>
      <c r="S1224" s="74"/>
      <c r="T1224" s="74"/>
      <c r="U1224" s="74"/>
      <c r="V1224" s="74"/>
      <c r="W1224" s="74"/>
      <c r="X1224" s="74"/>
      <c r="Y1224" s="74"/>
      <c r="Z1224" s="74"/>
      <c r="AA1224" s="74"/>
      <c r="AB1224" s="74"/>
      <c r="AC1224" s="74"/>
      <c r="AD1224" s="74"/>
      <c r="AE1224" s="74"/>
      <c r="AF1224" s="74"/>
      <c r="AG1224" s="74"/>
      <c r="AH1224" s="74"/>
      <c r="AI1224" s="74"/>
      <c r="AJ1224" s="74"/>
      <c r="AK1224" s="74"/>
      <c r="AL1224" s="38"/>
      <c r="AM1224" s="38"/>
      <c r="AN1224" s="75"/>
      <c r="AO1224" s="75"/>
      <c r="AP1224" s="38"/>
      <c r="AQ1224" s="38"/>
      <c r="AR1224" s="38"/>
      <c r="AS1224" s="38"/>
      <c r="AT1224" s="38"/>
      <c r="AU1224" s="38"/>
      <c r="AV1224" s="38"/>
      <c r="AW1224" s="38"/>
      <c r="AX1224" s="38"/>
      <c r="AY1224" s="38"/>
      <c r="AZ1224" s="38"/>
      <c r="BA1224" s="38"/>
      <c r="BB1224" s="38"/>
      <c r="BC1224" s="38"/>
      <c r="BD1224" s="38"/>
      <c r="BE1224" s="38"/>
      <c r="BF1224" s="38"/>
      <c r="BG1224" s="38"/>
      <c r="BH1224" s="38"/>
      <c r="BI1224" s="38"/>
      <c r="BJ1224" s="38"/>
      <c r="BK1224" s="38"/>
      <c r="BL1224" s="38"/>
      <c r="BM1224" s="38"/>
      <c r="BN1224" s="38"/>
      <c r="BO1224" s="38"/>
      <c r="BP1224" s="38"/>
      <c r="BQ1224" s="38"/>
      <c r="BR1224" s="38"/>
      <c r="BS1224" s="38"/>
      <c r="BT1224" s="38"/>
      <c r="BU1224" s="38"/>
      <c r="BV1224" s="38"/>
    </row>
    <row r="1225" ht="14.25" customHeight="1">
      <c r="A1225" s="74"/>
      <c r="B1225" s="38"/>
      <c r="C1225" s="38"/>
      <c r="D1225" s="38"/>
      <c r="E1225" s="74"/>
      <c r="F1225" s="74"/>
      <c r="G1225" s="74"/>
      <c r="H1225" s="74"/>
      <c r="I1225" s="74"/>
      <c r="J1225" s="74"/>
      <c r="K1225" s="74"/>
      <c r="L1225" s="74"/>
      <c r="M1225" s="74"/>
      <c r="N1225" s="74"/>
      <c r="O1225" s="74"/>
      <c r="P1225" s="74"/>
      <c r="Q1225" s="74"/>
      <c r="R1225" s="74"/>
      <c r="S1225" s="74"/>
      <c r="T1225" s="74"/>
      <c r="U1225" s="74"/>
      <c r="V1225" s="74"/>
      <c r="W1225" s="74"/>
      <c r="X1225" s="74"/>
      <c r="Y1225" s="74"/>
      <c r="Z1225" s="74"/>
      <c r="AA1225" s="74"/>
      <c r="AB1225" s="74"/>
      <c r="AC1225" s="74"/>
      <c r="AD1225" s="74"/>
      <c r="AE1225" s="74"/>
      <c r="AF1225" s="74"/>
      <c r="AG1225" s="74"/>
      <c r="AH1225" s="74"/>
      <c r="AI1225" s="74"/>
      <c r="AJ1225" s="74"/>
      <c r="AK1225" s="74"/>
      <c r="AL1225" s="38"/>
      <c r="AM1225" s="38"/>
      <c r="AN1225" s="75"/>
      <c r="AO1225" s="75"/>
      <c r="AP1225" s="38"/>
      <c r="AQ1225" s="38"/>
      <c r="AR1225" s="38"/>
      <c r="AS1225" s="38"/>
      <c r="AT1225" s="38"/>
      <c r="AU1225" s="38"/>
      <c r="AV1225" s="38"/>
      <c r="AW1225" s="38"/>
      <c r="AX1225" s="38"/>
      <c r="AY1225" s="38"/>
      <c r="AZ1225" s="38"/>
      <c r="BA1225" s="38"/>
      <c r="BB1225" s="38"/>
      <c r="BC1225" s="38"/>
      <c r="BD1225" s="38"/>
      <c r="BE1225" s="38"/>
      <c r="BF1225" s="38"/>
      <c r="BG1225" s="38"/>
      <c r="BH1225" s="38"/>
      <c r="BI1225" s="38"/>
      <c r="BJ1225" s="38"/>
      <c r="BK1225" s="38"/>
      <c r="BL1225" s="38"/>
      <c r="BM1225" s="38"/>
      <c r="BN1225" s="38"/>
      <c r="BO1225" s="38"/>
      <c r="BP1225" s="38"/>
      <c r="BQ1225" s="38"/>
      <c r="BR1225" s="38"/>
      <c r="BS1225" s="38"/>
      <c r="BT1225" s="38"/>
      <c r="BU1225" s="38"/>
      <c r="BV1225" s="38"/>
    </row>
    <row r="1226" ht="14.25" customHeight="1">
      <c r="A1226" s="74"/>
      <c r="B1226" s="38"/>
      <c r="C1226" s="38"/>
      <c r="D1226" s="38"/>
      <c r="E1226" s="74"/>
      <c r="F1226" s="74"/>
      <c r="G1226" s="74"/>
      <c r="H1226" s="74"/>
      <c r="I1226" s="74"/>
      <c r="J1226" s="74"/>
      <c r="K1226" s="74"/>
      <c r="L1226" s="74"/>
      <c r="M1226" s="74"/>
      <c r="N1226" s="74"/>
      <c r="O1226" s="74"/>
      <c r="P1226" s="74"/>
      <c r="Q1226" s="74"/>
      <c r="R1226" s="74"/>
      <c r="S1226" s="74"/>
      <c r="T1226" s="74"/>
      <c r="U1226" s="74"/>
      <c r="V1226" s="74"/>
      <c r="W1226" s="74"/>
      <c r="X1226" s="74"/>
      <c r="Y1226" s="74"/>
      <c r="Z1226" s="74"/>
      <c r="AA1226" s="74"/>
      <c r="AB1226" s="74"/>
      <c r="AC1226" s="74"/>
      <c r="AD1226" s="74"/>
      <c r="AE1226" s="74"/>
      <c r="AF1226" s="74"/>
      <c r="AG1226" s="74"/>
      <c r="AH1226" s="74"/>
      <c r="AI1226" s="74"/>
      <c r="AJ1226" s="74"/>
      <c r="AK1226" s="74"/>
      <c r="AL1226" s="38"/>
      <c r="AM1226" s="38"/>
      <c r="AN1226" s="75"/>
      <c r="AO1226" s="75"/>
      <c r="AP1226" s="38"/>
      <c r="AQ1226" s="38"/>
      <c r="AR1226" s="38"/>
      <c r="AS1226" s="38"/>
      <c r="AT1226" s="38"/>
      <c r="AU1226" s="38"/>
      <c r="AV1226" s="38"/>
      <c r="AW1226" s="38"/>
      <c r="AX1226" s="38"/>
      <c r="AY1226" s="38"/>
      <c r="AZ1226" s="38"/>
      <c r="BA1226" s="38"/>
      <c r="BB1226" s="38"/>
      <c r="BC1226" s="38"/>
      <c r="BD1226" s="38"/>
      <c r="BE1226" s="38"/>
      <c r="BF1226" s="38"/>
      <c r="BG1226" s="38"/>
      <c r="BH1226" s="38"/>
      <c r="BI1226" s="38"/>
      <c r="BJ1226" s="38"/>
      <c r="BK1226" s="38"/>
      <c r="BL1226" s="38"/>
      <c r="BM1226" s="38"/>
      <c r="BN1226" s="38"/>
      <c r="BO1226" s="38"/>
      <c r="BP1226" s="38"/>
      <c r="BQ1226" s="38"/>
      <c r="BR1226" s="38"/>
      <c r="BS1226" s="38"/>
      <c r="BT1226" s="38"/>
      <c r="BU1226" s="38"/>
      <c r="BV1226" s="38"/>
    </row>
    <row r="1227" ht="14.25" customHeight="1">
      <c r="A1227" s="74"/>
      <c r="B1227" s="38"/>
      <c r="C1227" s="38"/>
      <c r="D1227" s="38"/>
      <c r="E1227" s="74"/>
      <c r="F1227" s="74"/>
      <c r="G1227" s="74"/>
      <c r="H1227" s="74"/>
      <c r="I1227" s="74"/>
      <c r="J1227" s="74"/>
      <c r="K1227" s="74"/>
      <c r="L1227" s="74"/>
      <c r="M1227" s="74"/>
      <c r="N1227" s="74"/>
      <c r="O1227" s="74"/>
      <c r="P1227" s="74"/>
      <c r="Q1227" s="74"/>
      <c r="R1227" s="74"/>
      <c r="S1227" s="74"/>
      <c r="T1227" s="74"/>
      <c r="U1227" s="74"/>
      <c r="V1227" s="74"/>
      <c r="W1227" s="74"/>
      <c r="X1227" s="74"/>
      <c r="Y1227" s="74"/>
      <c r="Z1227" s="74"/>
      <c r="AA1227" s="74"/>
      <c r="AB1227" s="74"/>
      <c r="AC1227" s="74"/>
      <c r="AD1227" s="74"/>
      <c r="AE1227" s="74"/>
      <c r="AF1227" s="74"/>
      <c r="AG1227" s="74"/>
      <c r="AH1227" s="74"/>
      <c r="AI1227" s="74"/>
      <c r="AJ1227" s="74"/>
      <c r="AK1227" s="74"/>
      <c r="AL1227" s="38"/>
      <c r="AM1227" s="38"/>
      <c r="AN1227" s="75"/>
      <c r="AO1227" s="75"/>
      <c r="AP1227" s="38"/>
      <c r="AQ1227" s="38"/>
      <c r="AR1227" s="38"/>
      <c r="AS1227" s="38"/>
      <c r="AT1227" s="38"/>
      <c r="AU1227" s="38"/>
      <c r="AV1227" s="38"/>
      <c r="AW1227" s="38"/>
      <c r="AX1227" s="38"/>
      <c r="AY1227" s="38"/>
      <c r="AZ1227" s="38"/>
      <c r="BA1227" s="38"/>
      <c r="BB1227" s="38"/>
      <c r="BC1227" s="38"/>
      <c r="BD1227" s="38"/>
      <c r="BE1227" s="38"/>
      <c r="BF1227" s="38"/>
      <c r="BG1227" s="38"/>
      <c r="BH1227" s="38"/>
      <c r="BI1227" s="38"/>
      <c r="BJ1227" s="38"/>
      <c r="BK1227" s="38"/>
      <c r="BL1227" s="38"/>
      <c r="BM1227" s="38"/>
      <c r="BN1227" s="38"/>
      <c r="BO1227" s="38"/>
      <c r="BP1227" s="38"/>
      <c r="BQ1227" s="38"/>
      <c r="BR1227" s="38"/>
      <c r="BS1227" s="38"/>
      <c r="BT1227" s="38"/>
      <c r="BU1227" s="38"/>
      <c r="BV1227" s="38"/>
    </row>
    <row r="1228" ht="14.25" customHeight="1">
      <c r="A1228" s="74"/>
      <c r="B1228" s="38"/>
      <c r="C1228" s="38"/>
      <c r="D1228" s="38"/>
      <c r="E1228" s="74"/>
      <c r="F1228" s="74"/>
      <c r="G1228" s="74"/>
      <c r="H1228" s="74"/>
      <c r="I1228" s="74"/>
      <c r="J1228" s="74"/>
      <c r="K1228" s="74"/>
      <c r="L1228" s="74"/>
      <c r="M1228" s="74"/>
      <c r="N1228" s="74"/>
      <c r="O1228" s="74"/>
      <c r="P1228" s="74"/>
      <c r="Q1228" s="74"/>
      <c r="R1228" s="74"/>
      <c r="S1228" s="74"/>
      <c r="T1228" s="74"/>
      <c r="U1228" s="74"/>
      <c r="V1228" s="74"/>
      <c r="W1228" s="74"/>
      <c r="X1228" s="74"/>
      <c r="Y1228" s="74"/>
      <c r="Z1228" s="74"/>
      <c r="AA1228" s="74"/>
      <c r="AB1228" s="74"/>
      <c r="AC1228" s="74"/>
      <c r="AD1228" s="74"/>
      <c r="AE1228" s="74"/>
      <c r="AF1228" s="74"/>
      <c r="AG1228" s="74"/>
      <c r="AH1228" s="74"/>
      <c r="AI1228" s="74"/>
      <c r="AJ1228" s="74"/>
      <c r="AK1228" s="74"/>
      <c r="AL1228" s="38"/>
      <c r="AM1228" s="38"/>
      <c r="AN1228" s="75"/>
      <c r="AO1228" s="75"/>
      <c r="AP1228" s="38"/>
      <c r="AQ1228" s="38"/>
      <c r="AR1228" s="38"/>
      <c r="AS1228" s="38"/>
      <c r="AT1228" s="38"/>
      <c r="AU1228" s="38"/>
      <c r="AV1228" s="38"/>
      <c r="AW1228" s="38"/>
      <c r="AX1228" s="38"/>
      <c r="AY1228" s="38"/>
      <c r="AZ1228" s="38"/>
      <c r="BA1228" s="38"/>
      <c r="BB1228" s="38"/>
      <c r="BC1228" s="38"/>
      <c r="BD1228" s="38"/>
      <c r="BE1228" s="38"/>
      <c r="BF1228" s="38"/>
      <c r="BG1228" s="38"/>
      <c r="BH1228" s="38"/>
      <c r="BI1228" s="38"/>
      <c r="BJ1228" s="38"/>
      <c r="BK1228" s="38"/>
      <c r="BL1228" s="38"/>
      <c r="BM1228" s="38"/>
      <c r="BN1228" s="38"/>
      <c r="BO1228" s="38"/>
      <c r="BP1228" s="38"/>
      <c r="BQ1228" s="38"/>
      <c r="BR1228" s="38"/>
      <c r="BS1228" s="38"/>
      <c r="BT1228" s="38"/>
      <c r="BU1228" s="38"/>
      <c r="BV1228" s="38"/>
    </row>
    <row r="1229" ht="14.25" customHeight="1">
      <c r="A1229" s="74"/>
      <c r="B1229" s="38"/>
      <c r="C1229" s="38"/>
      <c r="D1229" s="38"/>
      <c r="E1229" s="74"/>
      <c r="F1229" s="74"/>
      <c r="G1229" s="74"/>
      <c r="H1229" s="74"/>
      <c r="I1229" s="74"/>
      <c r="J1229" s="74"/>
      <c r="K1229" s="74"/>
      <c r="L1229" s="74"/>
      <c r="M1229" s="74"/>
      <c r="N1229" s="74"/>
      <c r="O1229" s="74"/>
      <c r="P1229" s="74"/>
      <c r="Q1229" s="74"/>
      <c r="R1229" s="74"/>
      <c r="S1229" s="74"/>
      <c r="T1229" s="74"/>
      <c r="U1229" s="74"/>
      <c r="V1229" s="74"/>
      <c r="W1229" s="74"/>
      <c r="X1229" s="74"/>
      <c r="Y1229" s="74"/>
      <c r="Z1229" s="74"/>
      <c r="AA1229" s="74"/>
      <c r="AB1229" s="74"/>
      <c r="AC1229" s="74"/>
      <c r="AD1229" s="74"/>
      <c r="AE1229" s="74"/>
      <c r="AF1229" s="74"/>
      <c r="AG1229" s="74"/>
      <c r="AH1229" s="74"/>
      <c r="AI1229" s="74"/>
      <c r="AJ1229" s="74"/>
      <c r="AK1229" s="74"/>
      <c r="AL1229" s="38"/>
      <c r="AM1229" s="38"/>
      <c r="AN1229" s="75"/>
      <c r="AO1229" s="75"/>
      <c r="AP1229" s="38"/>
      <c r="AQ1229" s="38"/>
      <c r="AR1229" s="38"/>
      <c r="AS1229" s="38"/>
      <c r="AT1229" s="38"/>
      <c r="AU1229" s="38"/>
      <c r="AV1229" s="38"/>
      <c r="AW1229" s="38"/>
      <c r="AX1229" s="38"/>
      <c r="AY1229" s="38"/>
      <c r="AZ1229" s="38"/>
      <c r="BA1229" s="38"/>
      <c r="BB1229" s="38"/>
      <c r="BC1229" s="38"/>
      <c r="BD1229" s="38"/>
      <c r="BE1229" s="38"/>
      <c r="BF1229" s="38"/>
      <c r="BG1229" s="38"/>
      <c r="BH1229" s="38"/>
      <c r="BI1229" s="38"/>
      <c r="BJ1229" s="38"/>
      <c r="BK1229" s="38"/>
      <c r="BL1229" s="38"/>
      <c r="BM1229" s="38"/>
      <c r="BN1229" s="38"/>
      <c r="BO1229" s="38"/>
      <c r="BP1229" s="38"/>
      <c r="BQ1229" s="38"/>
      <c r="BR1229" s="38"/>
      <c r="BS1229" s="38"/>
      <c r="BT1229" s="38"/>
      <c r="BU1229" s="38"/>
      <c r="BV1229" s="38"/>
    </row>
    <row r="1230" ht="14.25" customHeight="1">
      <c r="A1230" s="74"/>
      <c r="B1230" s="38"/>
      <c r="C1230" s="38"/>
      <c r="D1230" s="38"/>
      <c r="E1230" s="74"/>
      <c r="F1230" s="74"/>
      <c r="G1230" s="74"/>
      <c r="H1230" s="74"/>
      <c r="I1230" s="74"/>
      <c r="J1230" s="74"/>
      <c r="K1230" s="74"/>
      <c r="L1230" s="74"/>
      <c r="M1230" s="74"/>
      <c r="N1230" s="74"/>
      <c r="O1230" s="74"/>
      <c r="P1230" s="74"/>
      <c r="Q1230" s="74"/>
      <c r="R1230" s="74"/>
      <c r="S1230" s="74"/>
      <c r="T1230" s="74"/>
      <c r="U1230" s="74"/>
      <c r="V1230" s="74"/>
      <c r="W1230" s="74"/>
      <c r="X1230" s="74"/>
      <c r="Y1230" s="74"/>
      <c r="Z1230" s="74"/>
      <c r="AA1230" s="74"/>
      <c r="AB1230" s="74"/>
      <c r="AC1230" s="74"/>
      <c r="AD1230" s="74"/>
      <c r="AE1230" s="74"/>
      <c r="AF1230" s="74"/>
      <c r="AG1230" s="74"/>
      <c r="AH1230" s="74"/>
      <c r="AI1230" s="74"/>
      <c r="AJ1230" s="74"/>
      <c r="AK1230" s="74"/>
      <c r="AL1230" s="38"/>
      <c r="AM1230" s="38"/>
      <c r="AN1230" s="75"/>
      <c r="AO1230" s="75"/>
      <c r="AP1230" s="38"/>
      <c r="AQ1230" s="38"/>
      <c r="AR1230" s="38"/>
      <c r="AS1230" s="38"/>
      <c r="AT1230" s="38"/>
      <c r="AU1230" s="38"/>
      <c r="AV1230" s="38"/>
      <c r="AW1230" s="38"/>
      <c r="AX1230" s="38"/>
      <c r="AY1230" s="38"/>
      <c r="AZ1230" s="38"/>
      <c r="BA1230" s="38"/>
      <c r="BB1230" s="38"/>
      <c r="BC1230" s="38"/>
      <c r="BD1230" s="38"/>
      <c r="BE1230" s="38"/>
      <c r="BF1230" s="38"/>
      <c r="BG1230" s="38"/>
      <c r="BH1230" s="38"/>
      <c r="BI1230" s="38"/>
      <c r="BJ1230" s="38"/>
      <c r="BK1230" s="38"/>
      <c r="BL1230" s="38"/>
      <c r="BM1230" s="38"/>
      <c r="BN1230" s="38"/>
      <c r="BO1230" s="38"/>
      <c r="BP1230" s="38"/>
      <c r="BQ1230" s="38"/>
      <c r="BR1230" s="38"/>
      <c r="BS1230" s="38"/>
      <c r="BT1230" s="38"/>
      <c r="BU1230" s="38"/>
      <c r="BV1230" s="38"/>
    </row>
    <row r="1231" ht="14.25" customHeight="1">
      <c r="A1231" s="74"/>
      <c r="B1231" s="38"/>
      <c r="C1231" s="38"/>
      <c r="D1231" s="38"/>
      <c r="E1231" s="74"/>
      <c r="F1231" s="74"/>
      <c r="G1231" s="74"/>
      <c r="H1231" s="74"/>
      <c r="I1231" s="74"/>
      <c r="J1231" s="74"/>
      <c r="K1231" s="74"/>
      <c r="L1231" s="74"/>
      <c r="M1231" s="74"/>
      <c r="N1231" s="74"/>
      <c r="O1231" s="74"/>
      <c r="P1231" s="74"/>
      <c r="Q1231" s="74"/>
      <c r="R1231" s="74"/>
      <c r="S1231" s="74"/>
      <c r="T1231" s="74"/>
      <c r="U1231" s="74"/>
      <c r="V1231" s="74"/>
      <c r="W1231" s="74"/>
      <c r="X1231" s="74"/>
      <c r="Y1231" s="74"/>
      <c r="Z1231" s="74"/>
      <c r="AA1231" s="74"/>
      <c r="AB1231" s="74"/>
      <c r="AC1231" s="74"/>
      <c r="AD1231" s="74"/>
      <c r="AE1231" s="74"/>
      <c r="AF1231" s="74"/>
      <c r="AG1231" s="74"/>
      <c r="AH1231" s="74"/>
      <c r="AI1231" s="74"/>
      <c r="AJ1231" s="74"/>
      <c r="AK1231" s="74"/>
      <c r="AL1231" s="38"/>
      <c r="AM1231" s="38"/>
      <c r="AN1231" s="75"/>
      <c r="AO1231" s="75"/>
      <c r="AP1231" s="38"/>
      <c r="AQ1231" s="38"/>
      <c r="AR1231" s="38"/>
      <c r="AS1231" s="38"/>
      <c r="AT1231" s="38"/>
      <c r="AU1231" s="38"/>
      <c r="AV1231" s="38"/>
      <c r="AW1231" s="38"/>
      <c r="AX1231" s="38"/>
      <c r="AY1231" s="38"/>
      <c r="AZ1231" s="38"/>
      <c r="BA1231" s="38"/>
      <c r="BB1231" s="38"/>
      <c r="BC1231" s="38"/>
      <c r="BD1231" s="38"/>
      <c r="BE1231" s="38"/>
      <c r="BF1231" s="38"/>
      <c r="BG1231" s="38"/>
      <c r="BH1231" s="38"/>
      <c r="BI1231" s="38"/>
      <c r="BJ1231" s="38"/>
      <c r="BK1231" s="38"/>
      <c r="BL1231" s="38"/>
      <c r="BM1231" s="38"/>
      <c r="BN1231" s="38"/>
      <c r="BO1231" s="38"/>
      <c r="BP1231" s="38"/>
      <c r="BQ1231" s="38"/>
      <c r="BR1231" s="38"/>
      <c r="BS1231" s="38"/>
      <c r="BT1231" s="38"/>
      <c r="BU1231" s="38"/>
      <c r="BV1231" s="38"/>
    </row>
    <row r="1232" ht="14.25" customHeight="1">
      <c r="A1232" s="74"/>
      <c r="B1232" s="38"/>
      <c r="C1232" s="38"/>
      <c r="D1232" s="38"/>
      <c r="E1232" s="74"/>
      <c r="F1232" s="74"/>
      <c r="G1232" s="74"/>
      <c r="H1232" s="74"/>
      <c r="I1232" s="74"/>
      <c r="J1232" s="74"/>
      <c r="K1232" s="74"/>
      <c r="L1232" s="74"/>
      <c r="M1232" s="74"/>
      <c r="N1232" s="74"/>
      <c r="O1232" s="74"/>
      <c r="P1232" s="74"/>
      <c r="Q1232" s="74"/>
      <c r="R1232" s="74"/>
      <c r="S1232" s="74"/>
      <c r="T1232" s="74"/>
      <c r="U1232" s="74"/>
      <c r="V1232" s="74"/>
      <c r="W1232" s="74"/>
      <c r="X1232" s="74"/>
      <c r="Y1232" s="74"/>
      <c r="Z1232" s="74"/>
      <c r="AA1232" s="74"/>
      <c r="AB1232" s="74"/>
      <c r="AC1232" s="74"/>
      <c r="AD1232" s="74"/>
      <c r="AE1232" s="74"/>
      <c r="AF1232" s="74"/>
      <c r="AG1232" s="74"/>
      <c r="AH1232" s="74"/>
      <c r="AI1232" s="74"/>
      <c r="AJ1232" s="74"/>
      <c r="AK1232" s="74"/>
      <c r="AL1232" s="38"/>
      <c r="AM1232" s="38"/>
      <c r="AN1232" s="75"/>
      <c r="AO1232" s="75"/>
      <c r="AP1232" s="38"/>
      <c r="AQ1232" s="38"/>
      <c r="AR1232" s="38"/>
      <c r="AS1232" s="38"/>
      <c r="AT1232" s="38"/>
      <c r="AU1232" s="38"/>
      <c r="AV1232" s="38"/>
      <c r="AW1232" s="38"/>
      <c r="AX1232" s="38"/>
      <c r="AY1232" s="38"/>
      <c r="AZ1232" s="38"/>
      <c r="BA1232" s="38"/>
      <c r="BB1232" s="38"/>
      <c r="BC1232" s="38"/>
      <c r="BD1232" s="38"/>
      <c r="BE1232" s="38"/>
      <c r="BF1232" s="38"/>
      <c r="BG1232" s="38"/>
      <c r="BH1232" s="38"/>
      <c r="BI1232" s="38"/>
      <c r="BJ1232" s="38"/>
      <c r="BK1232" s="38"/>
      <c r="BL1232" s="38"/>
      <c r="BM1232" s="38"/>
      <c r="BN1232" s="38"/>
      <c r="BO1232" s="38"/>
      <c r="BP1232" s="38"/>
      <c r="BQ1232" s="38"/>
      <c r="BR1232" s="38"/>
      <c r="BS1232" s="38"/>
      <c r="BT1232" s="38"/>
      <c r="BU1232" s="38"/>
      <c r="BV1232" s="38"/>
    </row>
    <row r="1233" ht="14.25" customHeight="1">
      <c r="A1233" s="74"/>
      <c r="B1233" s="38"/>
      <c r="C1233" s="38"/>
      <c r="D1233" s="38"/>
      <c r="E1233" s="74"/>
      <c r="F1233" s="74"/>
      <c r="G1233" s="74"/>
      <c r="H1233" s="74"/>
      <c r="I1233" s="74"/>
      <c r="J1233" s="74"/>
      <c r="K1233" s="74"/>
      <c r="L1233" s="74"/>
      <c r="M1233" s="74"/>
      <c r="N1233" s="74"/>
      <c r="O1233" s="74"/>
      <c r="P1233" s="74"/>
      <c r="Q1233" s="74"/>
      <c r="R1233" s="74"/>
      <c r="S1233" s="74"/>
      <c r="T1233" s="74"/>
      <c r="U1233" s="74"/>
      <c r="V1233" s="74"/>
      <c r="W1233" s="74"/>
      <c r="X1233" s="74"/>
      <c r="Y1233" s="74"/>
      <c r="Z1233" s="74"/>
      <c r="AA1233" s="74"/>
      <c r="AB1233" s="74"/>
      <c r="AC1233" s="74"/>
      <c r="AD1233" s="74"/>
      <c r="AE1233" s="74"/>
      <c r="AF1233" s="74"/>
      <c r="AG1233" s="74"/>
      <c r="AH1233" s="74"/>
      <c r="AI1233" s="74"/>
      <c r="AJ1233" s="74"/>
      <c r="AK1233" s="74"/>
      <c r="AL1233" s="38"/>
      <c r="AM1233" s="38"/>
      <c r="AN1233" s="75"/>
      <c r="AO1233" s="75"/>
      <c r="AP1233" s="38"/>
      <c r="AQ1233" s="38"/>
      <c r="AR1233" s="38"/>
      <c r="AS1233" s="38"/>
      <c r="AT1233" s="38"/>
      <c r="AU1233" s="38"/>
      <c r="AV1233" s="38"/>
      <c r="AW1233" s="38"/>
      <c r="AX1233" s="38"/>
      <c r="AY1233" s="38"/>
      <c r="AZ1233" s="38"/>
      <c r="BA1233" s="38"/>
      <c r="BB1233" s="38"/>
      <c r="BC1233" s="38"/>
      <c r="BD1233" s="38"/>
      <c r="BE1233" s="38"/>
      <c r="BF1233" s="38"/>
      <c r="BG1233" s="38"/>
      <c r="BH1233" s="38"/>
      <c r="BI1233" s="38"/>
      <c r="BJ1233" s="38"/>
      <c r="BK1233" s="38"/>
      <c r="BL1233" s="38"/>
      <c r="BM1233" s="38"/>
      <c r="BN1233" s="38"/>
      <c r="BO1233" s="38"/>
      <c r="BP1233" s="38"/>
      <c r="BQ1233" s="38"/>
      <c r="BR1233" s="38"/>
      <c r="BS1233" s="38"/>
      <c r="BT1233" s="38"/>
      <c r="BU1233" s="38"/>
      <c r="BV1233" s="38"/>
    </row>
  </sheetData>
  <mergeCells count="17">
    <mergeCell ref="A1:A3"/>
    <mergeCell ref="B1:B3"/>
    <mergeCell ref="C1:C3"/>
    <mergeCell ref="D1:D3"/>
    <mergeCell ref="AK1:AK3"/>
    <mergeCell ref="AL1:AL3"/>
    <mergeCell ref="G1:AG2"/>
    <mergeCell ref="AT1:AT2"/>
    <mergeCell ref="AS1:AS2"/>
    <mergeCell ref="AM1:AM3"/>
    <mergeCell ref="AN1:AN3"/>
    <mergeCell ref="AO1:AO3"/>
    <mergeCell ref="AP1:AP3"/>
    <mergeCell ref="AV1:AV2"/>
    <mergeCell ref="AU1:AU2"/>
    <mergeCell ref="AR1:AR2"/>
    <mergeCell ref="AQ1:A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7" max="7" width="23.5"/>
  </cols>
  <sheetData>
    <row r="1">
      <c r="A1" s="76" t="s">
        <v>369</v>
      </c>
      <c r="B1" s="77" t="s">
        <v>370</v>
      </c>
      <c r="C1" s="77" t="s">
        <v>371</v>
      </c>
      <c r="D1" s="77" t="s">
        <v>372</v>
      </c>
      <c r="E1" s="77" t="s">
        <v>373</v>
      </c>
      <c r="F1" s="78" t="s">
        <v>374</v>
      </c>
      <c r="G1" s="79" t="s">
        <v>375</v>
      </c>
    </row>
    <row r="2">
      <c r="A2" s="80" t="s">
        <v>20</v>
      </c>
      <c r="B2" s="81" t="s">
        <v>376</v>
      </c>
      <c r="C2" s="82">
        <v>695.0</v>
      </c>
      <c r="D2" s="82">
        <v>324.0</v>
      </c>
      <c r="E2" s="82">
        <v>549.0</v>
      </c>
      <c r="F2" s="82">
        <v>59.0</v>
      </c>
      <c r="G2" s="83" t="s">
        <v>377</v>
      </c>
    </row>
    <row r="3">
      <c r="A3" s="80" t="s">
        <v>21</v>
      </c>
      <c r="B3" s="84" t="s">
        <v>378</v>
      </c>
      <c r="C3" s="81">
        <v>616.0</v>
      </c>
      <c r="D3" s="81">
        <v>417.0</v>
      </c>
      <c r="E3" s="81">
        <v>468.0</v>
      </c>
      <c r="F3" s="81">
        <v>65.0</v>
      </c>
      <c r="G3" s="83" t="s">
        <v>377</v>
      </c>
    </row>
    <row r="4">
      <c r="A4" s="80" t="s">
        <v>22</v>
      </c>
      <c r="B4" s="84" t="s">
        <v>379</v>
      </c>
      <c r="C4" s="81">
        <v>699.0</v>
      </c>
      <c r="D4" s="81">
        <v>504.0</v>
      </c>
      <c r="E4" s="81">
        <v>554.0</v>
      </c>
      <c r="F4" s="81">
        <v>52.0</v>
      </c>
      <c r="G4" s="83" t="s">
        <v>377</v>
      </c>
    </row>
    <row r="5">
      <c r="A5" s="80" t="s">
        <v>23</v>
      </c>
      <c r="B5" s="81" t="s">
        <v>380</v>
      </c>
      <c r="C5" s="81">
        <v>462.0</v>
      </c>
      <c r="D5" s="81">
        <v>610.0</v>
      </c>
      <c r="E5" s="81">
        <v>313.0</v>
      </c>
      <c r="F5" s="81">
        <v>79.0</v>
      </c>
      <c r="G5" s="83" t="s">
        <v>377</v>
      </c>
    </row>
    <row r="6">
      <c r="A6" s="80" t="s">
        <v>24</v>
      </c>
      <c r="B6" s="81" t="s">
        <v>381</v>
      </c>
      <c r="C6" s="81">
        <v>580.0</v>
      </c>
      <c r="D6" s="81">
        <v>672.0</v>
      </c>
      <c r="E6" s="81">
        <v>430.0</v>
      </c>
      <c r="F6" s="81">
        <v>55.0</v>
      </c>
      <c r="G6" s="83" t="s">
        <v>377</v>
      </c>
    </row>
    <row r="7">
      <c r="A7" s="80" t="s">
        <v>25</v>
      </c>
      <c r="B7" s="85" t="s">
        <v>382</v>
      </c>
      <c r="C7" s="81">
        <v>622.0</v>
      </c>
      <c r="D7" s="81">
        <v>764.0</v>
      </c>
      <c r="E7" s="81">
        <v>472.0</v>
      </c>
      <c r="F7" s="81">
        <v>58.0</v>
      </c>
      <c r="G7" s="83" t="s">
        <v>377</v>
      </c>
    </row>
    <row r="8">
      <c r="A8" s="80" t="s">
        <v>26</v>
      </c>
      <c r="B8" s="85" t="s">
        <v>383</v>
      </c>
      <c r="C8" s="81">
        <v>1719.0</v>
      </c>
      <c r="D8" s="81">
        <v>332.0</v>
      </c>
      <c r="E8" s="81">
        <v>482.0</v>
      </c>
      <c r="F8" s="81">
        <v>83.0</v>
      </c>
      <c r="G8" s="83" t="s">
        <v>384</v>
      </c>
    </row>
    <row r="9">
      <c r="A9" s="80" t="s">
        <v>27</v>
      </c>
      <c r="B9" s="85" t="s">
        <v>385</v>
      </c>
      <c r="C9" s="81">
        <v>2540.0</v>
      </c>
      <c r="D9" s="81">
        <v>330.0</v>
      </c>
      <c r="E9" s="81">
        <v>774.0</v>
      </c>
      <c r="F9" s="81">
        <v>77.0</v>
      </c>
      <c r="G9" s="83" t="s">
        <v>384</v>
      </c>
    </row>
    <row r="10">
      <c r="A10" s="80" t="s">
        <v>28</v>
      </c>
      <c r="B10" s="85" t="s">
        <v>386</v>
      </c>
      <c r="C10" s="81">
        <v>1717.0</v>
      </c>
      <c r="D10" s="81">
        <v>449.0</v>
      </c>
      <c r="E10" s="81">
        <v>480.0</v>
      </c>
      <c r="F10" s="81">
        <v>87.0</v>
      </c>
      <c r="G10" s="83" t="s">
        <v>384</v>
      </c>
    </row>
    <row r="11">
      <c r="A11" s="86" t="s">
        <v>29</v>
      </c>
      <c r="B11" s="81" t="s">
        <v>387</v>
      </c>
      <c r="C11" s="81">
        <v>1997.0</v>
      </c>
      <c r="D11" s="81">
        <v>415.0</v>
      </c>
      <c r="E11" s="81">
        <v>235.0</v>
      </c>
      <c r="F11" s="81">
        <v>63.0</v>
      </c>
      <c r="G11" s="83" t="s">
        <v>384</v>
      </c>
    </row>
    <row r="12">
      <c r="A12" s="86" t="s">
        <v>30</v>
      </c>
      <c r="B12" s="81" t="s">
        <v>388</v>
      </c>
      <c r="C12" s="81">
        <v>2085.0</v>
      </c>
      <c r="D12" s="81">
        <v>533.0</v>
      </c>
      <c r="E12" s="81">
        <v>844.0</v>
      </c>
      <c r="F12" s="81">
        <v>58.0</v>
      </c>
      <c r="G12" s="83" t="s">
        <v>384</v>
      </c>
    </row>
    <row r="13">
      <c r="A13" s="86" t="s">
        <v>31</v>
      </c>
      <c r="B13" s="81" t="s">
        <v>389</v>
      </c>
      <c r="C13" s="81">
        <v>1938.0</v>
      </c>
      <c r="D13" s="81">
        <v>637.0</v>
      </c>
      <c r="E13" s="81">
        <v>559.0</v>
      </c>
      <c r="F13" s="81">
        <v>59.0</v>
      </c>
      <c r="G13" s="83" t="s">
        <v>384</v>
      </c>
    </row>
    <row r="14">
      <c r="A14" s="86" t="s">
        <v>32</v>
      </c>
      <c r="B14" s="81" t="s">
        <v>390</v>
      </c>
      <c r="C14" s="81">
        <v>2331.0</v>
      </c>
      <c r="D14" s="81">
        <v>250.0</v>
      </c>
      <c r="E14" s="81">
        <v>352.0</v>
      </c>
      <c r="F14" s="81">
        <v>45.0</v>
      </c>
      <c r="G14" s="83" t="s">
        <v>384</v>
      </c>
    </row>
    <row r="15">
      <c r="A15" s="20" t="s">
        <v>33</v>
      </c>
      <c r="B15" s="81" t="s">
        <v>391</v>
      </c>
      <c r="C15" s="81">
        <v>2528.0</v>
      </c>
      <c r="D15" s="81">
        <v>1030.0</v>
      </c>
      <c r="E15" s="81">
        <v>377.0</v>
      </c>
      <c r="F15" s="81">
        <v>227.0</v>
      </c>
      <c r="G15" s="83" t="s">
        <v>384</v>
      </c>
    </row>
    <row r="16">
      <c r="A16" s="86">
        <v>1.0</v>
      </c>
      <c r="B16" s="81" t="s">
        <v>392</v>
      </c>
      <c r="C16" s="81">
        <v>1102.0</v>
      </c>
      <c r="D16" s="81">
        <v>169.0</v>
      </c>
      <c r="E16" s="81">
        <v>886.0</v>
      </c>
      <c r="F16" s="81">
        <v>170.0</v>
      </c>
      <c r="G16" s="83" t="s">
        <v>384</v>
      </c>
    </row>
    <row r="17">
      <c r="A17" s="86">
        <v>2.0</v>
      </c>
      <c r="B17" s="81" t="s">
        <v>393</v>
      </c>
      <c r="C17" s="84"/>
      <c r="D17" s="84"/>
      <c r="E17" s="84"/>
      <c r="F17" s="84"/>
      <c r="G17" s="83" t="s">
        <v>384</v>
      </c>
    </row>
    <row r="18">
      <c r="A18" s="86">
        <v>3.0</v>
      </c>
      <c r="B18" s="81" t="s">
        <v>394</v>
      </c>
      <c r="C18" s="84"/>
      <c r="D18" s="84"/>
      <c r="E18" s="84"/>
      <c r="F18" s="84"/>
      <c r="G18" s="83" t="s">
        <v>384</v>
      </c>
    </row>
    <row r="19">
      <c r="A19" s="86">
        <v>4.0</v>
      </c>
      <c r="B19" s="81" t="s">
        <v>395</v>
      </c>
      <c r="C19" s="84"/>
      <c r="D19" s="84"/>
      <c r="E19" s="84"/>
      <c r="F19" s="84"/>
      <c r="G19" s="83" t="s">
        <v>384</v>
      </c>
    </row>
    <row r="20">
      <c r="A20" s="86">
        <v>5.0</v>
      </c>
      <c r="B20" s="81" t="s">
        <v>396</v>
      </c>
      <c r="C20" s="84"/>
      <c r="D20" s="84"/>
      <c r="E20" s="84"/>
      <c r="F20" s="84"/>
      <c r="G20" s="83" t="s">
        <v>384</v>
      </c>
    </row>
    <row r="21">
      <c r="A21" s="86">
        <v>6.0</v>
      </c>
      <c r="B21" s="81" t="s">
        <v>397</v>
      </c>
      <c r="C21" s="84"/>
      <c r="D21" s="84"/>
      <c r="E21" s="84"/>
      <c r="F21" s="84"/>
      <c r="G21" s="83" t="s">
        <v>384</v>
      </c>
    </row>
    <row r="22">
      <c r="A22" s="86">
        <v>7.0</v>
      </c>
      <c r="B22" s="81" t="s">
        <v>398</v>
      </c>
      <c r="C22" s="84"/>
      <c r="D22" s="84"/>
      <c r="E22" s="84"/>
      <c r="F22" s="84"/>
      <c r="G22" s="83" t="s">
        <v>384</v>
      </c>
    </row>
    <row r="23">
      <c r="A23" s="87">
        <v>8.0</v>
      </c>
      <c r="B23" s="88" t="s">
        <v>399</v>
      </c>
      <c r="C23" s="89"/>
      <c r="D23" s="89"/>
      <c r="E23" s="89"/>
      <c r="F23" s="89"/>
      <c r="G23" s="83" t="s">
        <v>384</v>
      </c>
    </row>
    <row r="24">
      <c r="A24" s="90">
        <v>9.0</v>
      </c>
      <c r="B24" s="91" t="s">
        <v>400</v>
      </c>
      <c r="C24" s="92"/>
      <c r="D24" s="92"/>
      <c r="E24" s="92"/>
      <c r="F24" s="92"/>
      <c r="G24" s="83" t="s">
        <v>384</v>
      </c>
    </row>
    <row r="25">
      <c r="A25" s="90">
        <v>10.0</v>
      </c>
      <c r="B25" s="91" t="s">
        <v>401</v>
      </c>
      <c r="C25" s="92"/>
      <c r="D25" s="92"/>
      <c r="E25" s="92"/>
      <c r="F25" s="92"/>
      <c r="G25" s="83" t="s">
        <v>384</v>
      </c>
    </row>
    <row r="26">
      <c r="A26" s="90">
        <v>11.0</v>
      </c>
      <c r="B26" s="91" t="s">
        <v>402</v>
      </c>
      <c r="C26" s="92"/>
      <c r="D26" s="92"/>
      <c r="E26" s="92"/>
      <c r="F26" s="92"/>
      <c r="G26" s="83" t="s">
        <v>384</v>
      </c>
    </row>
    <row r="27">
      <c r="A27" s="90">
        <v>12.0</v>
      </c>
      <c r="B27" s="91" t="s">
        <v>403</v>
      </c>
      <c r="C27" s="92"/>
      <c r="D27" s="92"/>
      <c r="E27" s="92"/>
      <c r="F27" s="92"/>
      <c r="G27" s="83" t="s">
        <v>384</v>
      </c>
    </row>
    <row r="28">
      <c r="A28" s="90">
        <v>13.0</v>
      </c>
      <c r="B28" s="91" t="s">
        <v>404</v>
      </c>
      <c r="C28" s="92"/>
      <c r="D28" s="92"/>
      <c r="E28" s="92"/>
      <c r="F28" s="92"/>
      <c r="G28" s="83" t="s">
        <v>384</v>
      </c>
    </row>
  </sheetData>
  <drawing r:id="rId1"/>
</worksheet>
</file>